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타임라인" sheetId="1" state="visible" r:id="rId3"/>
    <sheet name="납부일정" sheetId="2" state="visible" r:id="rId4"/>
    <sheet name="2025 진행이력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<sst xmlns="http://schemas.openxmlformats.org/spreadsheetml/2006/main" count="149" uniqueCount="117">
  <si>
    <r>
      <rPr>
        <b val="true"/>
        <sz val="14"/>
        <rFont val="WenQuanYi Zen Hei"/>
        <family val="2"/>
      </rPr>
      <t xml:space="preserve">코스콤 인증서비스 재계약 타임라인 </t>
    </r>
    <r>
      <rPr>
        <b val="true"/>
        <sz val="14"/>
        <rFont val="Arial"/>
        <family val="0"/>
        <charset val="1"/>
      </rPr>
      <t xml:space="preserve">(2027</t>
    </r>
    <r>
      <rPr>
        <b val="true"/>
        <sz val="14"/>
        <rFont val="WenQuanYi Zen Hei"/>
        <family val="2"/>
      </rPr>
      <t xml:space="preserve">년 이용분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</si>
  <si>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견적서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월 중순 수령 → 총무부 체결의뢰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월 첫째 주 </t>
    </r>
    <r>
      <rPr>
        <sz val="9"/>
        <color rgb="FF595959"/>
        <rFont val="Arial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작성 </t>
    </r>
    <r>
      <rPr>
        <sz val="9"/>
        <color rgb="FF595959"/>
        <rFont val="Arial"/>
        <family val="0"/>
        <charset val="1"/>
      </rPr>
      <t xml:space="preserve">2026-10-21</t>
    </r>
  </si>
  <si>
    <r>
      <rPr>
        <sz val="9"/>
        <color rgb="FF595959"/>
        <rFont val="Arial"/>
        <family val="0"/>
        <charset val="1"/>
      </rPr>
      <t xml:space="preserve">D-day </t>
    </r>
    <r>
      <rPr>
        <sz val="9"/>
        <color rgb="FF595959"/>
        <rFont val="WenQuanYi Zen Hei"/>
        <family val="2"/>
      </rPr>
      <t xml:space="preserve">기준일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계약 체결일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</si>
  <si>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← 기준일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시작일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종료일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을 고치면 </t>
    </r>
    <r>
      <rPr>
        <sz val="9"/>
        <color rgb="FF595959"/>
        <rFont val="Arial"/>
        <family val="0"/>
        <charset val="1"/>
      </rPr>
      <t xml:space="preserve">D-day·</t>
    </r>
    <r>
      <rPr>
        <sz val="9"/>
        <color rgb="FF595959"/>
        <rFont val="WenQuanYi Zen Hei"/>
        <family val="2"/>
      </rPr>
      <t xml:space="preserve">간트 자동 반영 </t>
    </r>
    <r>
      <rPr>
        <sz val="9"/>
        <color rgb="FF595959"/>
        <rFont val="Arial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빨간 굵은 글씨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핵심 마일스톤</t>
    </r>
  </si>
  <si>
    <r>
      <rPr>
        <b val="true"/>
        <sz val="9"/>
        <rFont val="WenQuanYi Zen Hei"/>
        <family val="2"/>
      </rPr>
      <t xml:space="preserve">주간 일정 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월요일 기준</t>
    </r>
    <r>
      <rPr>
        <b val="true"/>
        <sz val="9"/>
        <rFont val="Arial"/>
        <family val="0"/>
        <charset val="1"/>
      </rPr>
      <t xml:space="preserve">)</t>
    </r>
  </si>
  <si>
    <t xml:space="preserve">No</t>
  </si>
  <si>
    <t xml:space="preserve">단계</t>
  </si>
  <si>
    <t xml:space="preserve">할 일</t>
  </si>
  <si>
    <t xml:space="preserve">시작일</t>
  </si>
  <si>
    <t xml:space="preserve">종료일</t>
  </si>
  <si>
    <t xml:space="preserve">D-day</t>
  </si>
  <si>
    <t xml:space="preserve">상대</t>
  </si>
  <si>
    <t xml:space="preserve">비고</t>
  </si>
  <si>
    <t xml:space="preserve">① 사전준비</t>
  </si>
  <si>
    <t xml:space="preserve">코스콤 견적 요청</t>
  </si>
  <si>
    <t xml:space="preserve">코스콤</t>
  </si>
  <si>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월 중순 회신 예정</t>
    </r>
  </si>
  <si>
    <r>
      <rPr>
        <b val="true"/>
        <sz val="10"/>
        <color rgb="FFC00000"/>
        <rFont val="WenQuanYi Zen Hei"/>
        <family val="2"/>
      </rPr>
      <t xml:space="preserve">총무부 사전협의 </t>
    </r>
    <r>
      <rPr>
        <b val="true"/>
        <sz val="10"/>
        <color rgb="FFC00000"/>
        <rFont val="Arial"/>
        <family val="0"/>
        <charset val="1"/>
      </rPr>
      <t xml:space="preserve">(12</t>
    </r>
    <r>
      <rPr>
        <b val="true"/>
        <sz val="10"/>
        <color rgb="FFC00000"/>
        <rFont val="WenQuanYi Zen Hei"/>
        <family val="2"/>
      </rPr>
      <t xml:space="preserve">월 첫째 주 의뢰 일정 공유</t>
    </r>
    <r>
      <rPr>
        <b val="true"/>
        <sz val="10"/>
        <color rgb="FFC00000"/>
        <rFont val="Arial"/>
        <family val="0"/>
        <charset val="1"/>
      </rPr>
      <t xml:space="preserve">, </t>
    </r>
    <r>
      <rPr>
        <b val="true"/>
        <sz val="10"/>
        <color rgb="FFC00000"/>
        <rFont val="WenQuanYi Zen Hei"/>
        <family val="2"/>
      </rPr>
      <t xml:space="preserve">수의계약</t>
    </r>
    <r>
      <rPr>
        <b val="true"/>
        <sz val="10"/>
        <color rgb="FFC00000"/>
        <rFont val="Arial"/>
        <family val="0"/>
        <charset val="1"/>
      </rPr>
      <t xml:space="preserve">, 1</t>
    </r>
    <r>
      <rPr>
        <b val="true"/>
        <sz val="10"/>
        <color rgb="FFC00000"/>
        <rFont val="WenQuanYi Zen Hei"/>
        <family val="2"/>
      </rPr>
      <t xml:space="preserve">월 일시납</t>
    </r>
    <r>
      <rPr>
        <b val="true"/>
        <sz val="10"/>
        <color rgb="FFC00000"/>
        <rFont val="Arial"/>
        <family val="0"/>
        <charset val="1"/>
      </rPr>
      <t xml:space="preserve">·</t>
    </r>
    <r>
      <rPr>
        <b val="true"/>
        <sz val="10"/>
        <color rgb="FFC00000"/>
        <rFont val="WenQuanYi Zen Hei"/>
        <family val="2"/>
      </rPr>
      <t xml:space="preserve">선급금 해당 여부</t>
    </r>
    <r>
      <rPr>
        <b val="true"/>
        <sz val="10"/>
        <color rgb="FFC00000"/>
        <rFont val="Arial"/>
        <family val="0"/>
        <charset val="1"/>
      </rPr>
      <t xml:space="preserve">, </t>
    </r>
    <r>
      <rPr>
        <b val="true"/>
        <sz val="10"/>
        <color rgb="FFC00000"/>
        <rFont val="WenQuanYi Zen Hei"/>
        <family val="2"/>
      </rPr>
      <t xml:space="preserve">과업지시서 필요 여부</t>
    </r>
    <r>
      <rPr>
        <b val="true"/>
        <sz val="10"/>
        <color rgb="FFC00000"/>
        <rFont val="Arial"/>
        <family val="0"/>
        <charset val="1"/>
      </rPr>
      <t xml:space="preserve">)</t>
    </r>
  </si>
  <si>
    <t xml:space="preserve">총무부</t>
  </si>
  <si>
    <r>
      <rPr>
        <sz val="10"/>
        <rFont val="WenQuanYi Zen Hei"/>
        <family val="2"/>
      </rPr>
      <t xml:space="preserve">교육자료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의뢰 전 사전협의 권고</t>
    </r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</si>
  <si>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년 예산 배정액 확인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전산업무비–라이선스사용료</t>
    </r>
    <r>
      <rPr>
        <sz val="10"/>
        <rFont val="Arial"/>
        <family val="0"/>
        <charset val="1"/>
      </rPr>
      <t xml:space="preserve">), 1</t>
    </r>
    <r>
      <rPr>
        <sz val="10"/>
        <rFont val="WenQuanYi Zen Hei"/>
        <family val="2"/>
      </rPr>
      <t xml:space="preserve">월 일괄 집행 가능 여부</t>
    </r>
  </si>
  <si>
    <t xml:space="preserve">예산 담당</t>
  </si>
  <si>
    <r>
      <rPr>
        <sz val="10"/>
        <rFont val="WenQuanYi Zen Hei"/>
        <family val="2"/>
      </rPr>
      <t xml:space="preserve">작년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차본 배정액 오기재 주의</t>
    </r>
  </si>
  <si>
    <r>
      <rPr>
        <sz val="10"/>
        <rFont val="WenQuanYi Zen Hei"/>
        <family val="2"/>
      </rPr>
      <t xml:space="preserve">문서 초안 작성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체결방안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체결의뢰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참고자료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수의계약사유서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계약서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금액은 </t>
    </r>
    <r>
      <rPr>
        <sz val="10"/>
        <rFont val="Arial"/>
        <family val="0"/>
        <charset val="1"/>
      </rPr>
      <t xml:space="preserve">'26</t>
    </r>
    <r>
      <rPr>
        <sz val="10"/>
        <rFont val="WenQuanYi Zen Hei"/>
        <family val="2"/>
      </rPr>
      <t xml:space="preserve">년 기준 임시</t>
    </r>
  </si>
  <si>
    <t xml:space="preserve">팀</t>
  </si>
  <si>
    <r>
      <rPr>
        <sz val="10"/>
        <rFont val="WenQuanYi Zen Hei"/>
        <family val="2"/>
      </rPr>
      <t xml:space="preserve">작년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차본 양식</t>
    </r>
  </si>
  <si>
    <r>
      <rPr>
        <sz val="10"/>
        <rFont val="WenQuanYi Zen Hei"/>
        <family val="2"/>
      </rPr>
      <t xml:space="preserve">② 견적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의뢰</t>
    </r>
  </si>
  <si>
    <r>
      <rPr>
        <b val="true"/>
        <sz val="10"/>
        <color rgb="FFC00000"/>
        <rFont val="WenQuanYi Zen Hei"/>
        <family val="2"/>
      </rPr>
      <t xml:space="preserve">코스콤 견적서 수령 → 산출기준</t>
    </r>
    <r>
      <rPr>
        <b val="true"/>
        <sz val="10"/>
        <color rgb="FFC00000"/>
        <rFont val="Arial"/>
        <family val="0"/>
        <charset val="1"/>
      </rPr>
      <t xml:space="preserve">·</t>
    </r>
    <r>
      <rPr>
        <b val="true"/>
        <sz val="10"/>
        <color rgb="FFC00000"/>
        <rFont val="WenQuanYi Zen Hei"/>
        <family val="2"/>
      </rPr>
      <t xml:space="preserve">일시납 문구 확인</t>
    </r>
  </si>
  <si>
    <t xml:space="preserve">늦으면 총액만 메일로 먼저 받기</t>
  </si>
  <si>
    <r>
      <rPr>
        <sz val="10"/>
        <rFont val="WenQuanYi Zen Hei"/>
        <family val="2"/>
      </rPr>
      <t xml:space="preserve">초안에 금액 반영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공급내역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계약금액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계약보증금 </t>
    </r>
    <r>
      <rPr>
        <sz val="10"/>
        <rFont val="Arial"/>
        <family val="0"/>
        <charset val="1"/>
      </rPr>
      <t xml:space="preserve">10%, </t>
    </r>
    <r>
      <rPr>
        <sz val="10"/>
        <rFont val="WenQuanYi Zen Hei"/>
        <family val="2"/>
      </rPr>
      <t xml:space="preserve">과거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개년 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예산 잔액</t>
    </r>
    <r>
      <rPr>
        <sz val="10"/>
        <rFont val="Arial"/>
        <family val="0"/>
        <charset val="1"/>
      </rPr>
      <t xml:space="preserve">) → </t>
    </r>
    <r>
      <rPr>
        <sz val="10"/>
        <rFont val="WenQuanYi Zen Hei"/>
        <family val="2"/>
      </rPr>
      <t xml:space="preserve">팀장 보고</t>
    </r>
  </si>
  <si>
    <r>
      <rPr>
        <sz val="10"/>
        <rFont val="WenQuanYi Zen Hei"/>
        <family val="2"/>
      </rPr>
      <t xml:space="preserve">감사부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총무부 최종본 메신저 확인</t>
    </r>
    <r>
      <rPr>
        <sz val="10"/>
        <rFont val="Arial"/>
        <family val="0"/>
        <charset val="1"/>
      </rPr>
      <t xml:space="preserve">(OK)</t>
    </r>
  </si>
  <si>
    <r>
      <rPr>
        <sz val="10"/>
        <rFont val="WenQuanYi Zen Hei"/>
        <family val="2"/>
      </rPr>
      <t xml:space="preserve">감사부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총무부</t>
    </r>
  </si>
  <si>
    <r>
      <rPr>
        <b val="true"/>
        <sz val="10"/>
        <color rgb="FFC00000"/>
        <rFont val="WenQuanYi Zen Hei"/>
        <family val="2"/>
      </rPr>
      <t xml:space="preserve">체결방안 결재</t>
    </r>
    <r>
      <rPr>
        <b val="true"/>
        <sz val="10"/>
        <color rgb="FFC00000"/>
        <rFont val="Arial"/>
        <family val="0"/>
        <charset val="1"/>
      </rPr>
      <t xml:space="preserve">(</t>
    </r>
    <r>
      <rPr>
        <b val="true"/>
        <sz val="10"/>
        <color rgb="FFC00000"/>
        <rFont val="WenQuanYi Zen Hei"/>
        <family val="2"/>
      </rPr>
      <t xml:space="preserve">본부장</t>
    </r>
    <r>
      <rPr>
        <b val="true"/>
        <sz val="10"/>
        <color rgb="FFC00000"/>
        <rFont val="Arial"/>
        <family val="0"/>
        <charset val="1"/>
      </rPr>
      <t xml:space="preserve">) + </t>
    </r>
    <r>
      <rPr>
        <b val="true"/>
        <sz val="10"/>
        <color rgb="FFC00000"/>
        <rFont val="WenQuanYi Zen Hei"/>
        <family val="2"/>
      </rPr>
      <t xml:space="preserve">일상감사</t>
    </r>
    <r>
      <rPr>
        <b val="true"/>
        <sz val="10"/>
        <color rgb="FFC00000"/>
        <rFont val="Arial"/>
        <family val="0"/>
        <charset val="1"/>
      </rPr>
      <t xml:space="preserve">(6</t>
    </r>
    <r>
      <rPr>
        <b val="true"/>
        <sz val="10"/>
        <color rgb="FFC00000"/>
        <rFont val="WenQuanYi Zen Hei"/>
        <family val="2"/>
      </rPr>
      <t xml:space="preserve">호</t>
    </r>
    <r>
      <rPr>
        <b val="true"/>
        <sz val="10"/>
        <color rgb="FFC00000"/>
        <rFont val="Arial"/>
        <family val="0"/>
        <charset val="1"/>
      </rPr>
      <t xml:space="preserve">)</t>
    </r>
  </si>
  <si>
    <t xml:space="preserve">감사부</t>
  </si>
  <si>
    <r>
      <rPr>
        <sz val="10"/>
        <rFont val="WenQuanYi Zen Hei"/>
        <family val="2"/>
      </rPr>
      <t xml:space="preserve">일상감사 내용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의뢰 내용</t>
    </r>
  </si>
  <si>
    <r>
      <rPr>
        <sz val="10"/>
        <rFont val="Arial"/>
        <family val="0"/>
        <charset val="1"/>
      </rPr>
      <t xml:space="preserve">'26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실적</t>
    </r>
    <r>
      <rPr>
        <sz val="10"/>
        <rFont val="Arial"/>
        <family val="0"/>
        <charset val="1"/>
      </rPr>
      <t xml:space="preserve">('25.12.1~'26.11.30) </t>
    </r>
    <r>
      <rPr>
        <sz val="10"/>
        <rFont val="WenQuanYi Zen Hei"/>
        <family val="2"/>
      </rPr>
      <t xml:space="preserve">수령 시 참고자료 </t>
    </r>
    <r>
      <rPr>
        <sz val="10"/>
        <rFont val="Arial"/>
        <family val="0"/>
        <charset val="1"/>
      </rPr>
      <t xml:space="preserve">'26</t>
    </r>
    <r>
      <rPr>
        <sz val="10"/>
        <rFont val="WenQuanYi Zen Hei"/>
        <family val="2"/>
      </rPr>
      <t xml:space="preserve">년 금액 반영</t>
    </r>
  </si>
  <si>
    <r>
      <rPr>
        <sz val="10"/>
        <rFont val="WenQuanYi Zen Hei"/>
        <family val="2"/>
      </rPr>
      <t xml:space="preserve">미수령 시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추정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표기</t>
    </r>
  </si>
  <si>
    <r>
      <rPr>
        <b val="true"/>
        <sz val="10"/>
        <color rgb="FFC00000"/>
        <rFont val="WenQuanYi Zen Hei"/>
        <family val="2"/>
      </rPr>
      <t xml:space="preserve">총무부 체결의뢰 공문 시행 </t>
    </r>
    <r>
      <rPr>
        <b val="true"/>
        <sz val="10"/>
        <color rgb="FFC00000"/>
        <rFont val="Arial"/>
        <family val="0"/>
        <charset val="1"/>
      </rPr>
      <t xml:space="preserve">(</t>
    </r>
    <r>
      <rPr>
        <b val="true"/>
        <sz val="10"/>
        <color rgb="FFC00000"/>
        <rFont val="WenQuanYi Zen Hei"/>
        <family val="2"/>
      </rPr>
      <t xml:space="preserve">수신</t>
    </r>
    <r>
      <rPr>
        <b val="true"/>
        <sz val="10"/>
        <color rgb="FFC00000"/>
        <rFont val="Arial"/>
        <family val="0"/>
        <charset val="1"/>
      </rPr>
      <t xml:space="preserve">: </t>
    </r>
    <r>
      <rPr>
        <b val="true"/>
        <sz val="10"/>
        <color rgb="FFC00000"/>
        <rFont val="WenQuanYi Zen Hei"/>
        <family val="2"/>
      </rPr>
      <t xml:space="preserve">총무부장</t>
    </r>
    <r>
      <rPr>
        <b val="true"/>
        <sz val="10"/>
        <color rgb="FFC0000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</si>
  <si>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늦어도 </t>
    </r>
    <r>
      <rPr>
        <sz val="10"/>
        <rFont val="Arial"/>
        <family val="0"/>
        <charset val="1"/>
      </rPr>
      <t xml:space="preserve">12.8(</t>
    </r>
    <r>
      <rPr>
        <sz val="10"/>
        <rFont val="WenQuanYi Zen Hei"/>
        <family val="2"/>
      </rPr>
      <t xml:space="preserve">화</t>
    </r>
    <r>
      <rPr>
        <sz val="10"/>
        <rFont val="Arial"/>
        <family val="0"/>
        <charset val="1"/>
      </rPr>
      <t xml:space="preserve">)</t>
    </r>
  </si>
  <si>
    <t xml:space="preserve">③ 계약체결</t>
  </si>
  <si>
    <r>
      <rPr>
        <sz val="10"/>
        <rFont val="Arial"/>
        <family val="0"/>
        <charset val="1"/>
      </rPr>
      <t xml:space="preserve">'26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정산 청구 수령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현행 계약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</si>
  <si>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지출 처리</t>
    </r>
  </si>
  <si>
    <t xml:space="preserve">재무</t>
  </si>
  <si>
    <t xml:space="preserve">연말 결산 마감 전</t>
  </si>
  <si>
    <r>
      <rPr>
        <sz val="10"/>
        <rFont val="WenQuanYi Zen Hei"/>
        <family val="2"/>
      </rPr>
      <t xml:space="preserve">현행 계약 법인인증서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월분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마지막 월분납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청구 확인</t>
    </r>
  </si>
  <si>
    <r>
      <rPr>
        <sz val="10"/>
        <rFont val="Arial"/>
        <family val="0"/>
        <charset val="1"/>
      </rPr>
      <t xml:space="preserve">12.25 </t>
    </r>
    <r>
      <rPr>
        <sz val="10"/>
        <rFont val="WenQuanYi Zen Hei"/>
        <family val="2"/>
      </rPr>
      <t xml:space="preserve">공휴일 → 청구일 확인</t>
    </r>
  </si>
  <si>
    <r>
      <rPr>
        <b val="true"/>
        <sz val="10"/>
        <color rgb="FFC00000"/>
        <rFont val="WenQuanYi Zen Hei"/>
        <family val="2"/>
      </rPr>
      <t xml:space="preserve">계약 체결 </t>
    </r>
    <r>
      <rPr>
        <b val="true"/>
        <sz val="10"/>
        <color rgb="FFC00000"/>
        <rFont val="Arial"/>
        <family val="0"/>
        <charset val="1"/>
      </rPr>
      <t xml:space="preserve">(</t>
    </r>
    <r>
      <rPr>
        <b val="true"/>
        <sz val="10"/>
        <color rgb="FFC00000"/>
        <rFont val="WenQuanYi Zen Hei"/>
        <family val="2"/>
      </rPr>
      <t xml:space="preserve">체결일</t>
    </r>
    <r>
      <rPr>
        <b val="true"/>
        <sz val="10"/>
        <color rgb="FFC00000"/>
        <rFont val="Arial"/>
        <family val="0"/>
        <charset val="1"/>
      </rPr>
      <t xml:space="preserve">) / </t>
    </r>
    <r>
      <rPr>
        <b val="true"/>
        <sz val="10"/>
        <color rgb="FFC00000"/>
        <rFont val="WenQuanYi Zen Hei"/>
        <family val="2"/>
      </rPr>
      <t xml:space="preserve">체결 통보 수령</t>
    </r>
  </si>
  <si>
    <r>
      <rPr>
        <sz val="10"/>
        <rFont val="WenQuanYi Zen Hei"/>
        <family val="2"/>
      </rPr>
      <t xml:space="preserve">작년 </t>
    </r>
    <r>
      <rPr>
        <sz val="10"/>
        <rFont val="Arial"/>
        <family val="0"/>
        <charset val="1"/>
      </rPr>
      <t xml:space="preserve">12.29</t>
    </r>
  </si>
  <si>
    <r>
      <rPr>
        <sz val="10"/>
        <rFont val="Arial"/>
        <family val="0"/>
        <charset val="1"/>
      </rPr>
      <t xml:space="preserve">④ 2027 </t>
    </r>
    <r>
      <rPr>
        <sz val="10"/>
        <rFont val="WenQuanYi Zen Hei"/>
        <family val="2"/>
      </rPr>
      <t xml:space="preserve">지급</t>
    </r>
  </si>
  <si>
    <t xml:space="preserve">새 계약 개시</t>
  </si>
  <si>
    <r>
      <rPr>
        <sz val="10"/>
        <rFont val="WenQuanYi Zen Hei"/>
        <family val="2"/>
      </rPr>
      <t xml:space="preserve">서버용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법인용 인증서 연간분 일괄 청구</t>
    </r>
  </si>
  <si>
    <r>
      <rPr>
        <b val="true"/>
        <sz val="10"/>
        <color rgb="FFC00000"/>
        <rFont val="WenQuanYi Zen Hei"/>
        <family val="2"/>
      </rPr>
      <t xml:space="preserve">서버용</t>
    </r>
    <r>
      <rPr>
        <b val="true"/>
        <sz val="10"/>
        <color rgb="FFC00000"/>
        <rFont val="Arial"/>
        <family val="0"/>
        <charset val="1"/>
      </rPr>
      <t xml:space="preserve">+</t>
    </r>
    <r>
      <rPr>
        <b val="true"/>
        <sz val="10"/>
        <color rgb="FFC00000"/>
        <rFont val="WenQuanYi Zen Hei"/>
        <family val="2"/>
      </rPr>
      <t xml:space="preserve">법인용 인증서 일괄 지급</t>
    </r>
  </si>
  <si>
    <r>
      <rPr>
        <sz val="10"/>
        <rFont val="WenQuanYi Zen Hei"/>
        <family val="2"/>
      </rPr>
      <t xml:space="preserve">청구일부터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이내</t>
    </r>
  </si>
  <si>
    <r>
      <rPr>
        <sz val="10"/>
        <rFont val="Arial"/>
        <family val="0"/>
        <charset val="1"/>
      </rPr>
      <t xml:space="preserve">'27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정산 청구 </t>
    </r>
    <r>
      <rPr>
        <sz val="10"/>
        <rFont val="Arial"/>
        <family val="0"/>
        <charset val="1"/>
      </rPr>
      <t xml:space="preserve">('26.12.1~'27.11.30 </t>
    </r>
    <r>
      <rPr>
        <sz val="10"/>
        <rFont val="WenQuanYi Zen Hei"/>
        <family val="2"/>
      </rPr>
      <t xml:space="preserve">실적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</si>
  <si>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'27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지급</t>
    </r>
  </si>
  <si>
    <r>
      <rPr>
        <sz val="9"/>
        <color rgb="FF595959"/>
        <rFont val="Arial"/>
        <family val="0"/>
        <charset val="1"/>
      </rPr>
      <t xml:space="preserve">※ D-day = </t>
    </r>
    <r>
      <rPr>
        <sz val="9"/>
        <color rgb="FF595959"/>
        <rFont val="WenQuanYi Zen Hei"/>
        <family val="2"/>
      </rPr>
      <t xml:space="preserve">계약 체결일</t>
    </r>
    <r>
      <rPr>
        <sz val="9"/>
        <color rgb="FF595959"/>
        <rFont val="Arial"/>
        <family val="0"/>
        <charset val="1"/>
      </rPr>
      <t xml:space="preserve">(C3) </t>
    </r>
    <r>
      <rPr>
        <sz val="9"/>
        <color rgb="FF595959"/>
        <rFont val="WenQuanYi Zen Hei"/>
        <family val="2"/>
      </rPr>
      <t xml:space="preserve">기준 </t>
    </r>
    <r>
      <rPr>
        <sz val="9"/>
        <color rgb="FF595959"/>
        <rFont val="Arial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간트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파란색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일정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연주황 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체결일 주간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빨간색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체결일</t>
    </r>
  </si>
  <si>
    <r>
      <rPr>
        <sz val="9"/>
        <color rgb="FFC00000"/>
        <rFont val="WenQuanYi Zen Hei"/>
        <family val="2"/>
      </rPr>
      <t xml:space="preserve">※ 교육자료 권고 의뢰시점</t>
    </r>
    <r>
      <rPr>
        <sz val="9"/>
        <color rgb="FFC00000"/>
        <rFont val="Arial"/>
        <family val="0"/>
        <charset val="1"/>
      </rPr>
      <t xml:space="preserve">(2</t>
    </r>
    <r>
      <rPr>
        <sz val="9"/>
        <color rgb="FFC00000"/>
        <rFont val="WenQuanYi Zen Hei"/>
        <family val="2"/>
      </rPr>
      <t xml:space="preserve">천만원 이상</t>
    </r>
    <r>
      <rPr>
        <sz val="9"/>
        <color rgb="FFC00000"/>
        <rFont val="Arial"/>
        <family val="0"/>
        <charset val="1"/>
      </rPr>
      <t xml:space="preserve">, 8~12</t>
    </r>
    <r>
      <rPr>
        <sz val="9"/>
        <color rgb="FFC00000"/>
        <rFont val="WenQuanYi Zen Hei"/>
        <family val="2"/>
      </rPr>
      <t xml:space="preserve">주 前 영업일</t>
    </r>
    <r>
      <rPr>
        <sz val="9"/>
        <color rgb="FFC00000"/>
        <rFont val="Arial"/>
        <family val="0"/>
        <charset val="1"/>
      </rPr>
      <t xml:space="preserve">) ≈ 2026.10.7~11.5 → 12</t>
    </r>
    <r>
      <rPr>
        <sz val="9"/>
        <color rgb="FFC00000"/>
        <rFont val="WenQuanYi Zen Hei"/>
        <family val="2"/>
      </rPr>
      <t xml:space="preserve">월 첫째 주 의뢰는 권고보다 늦으므로 총무부 사전 양해 필요</t>
    </r>
  </si>
  <si>
    <r>
      <rPr>
        <b val="true"/>
        <sz val="14"/>
        <rFont val="WenQuanYi Zen Hei"/>
        <family val="2"/>
      </rPr>
      <t xml:space="preserve">납부 일정 비교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현행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변경안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</si>
  <si>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금액은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년 계약 기준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임시</t>
    </r>
    <r>
      <rPr>
        <sz val="9"/>
        <color rgb="FF595959"/>
        <rFont val="Arial"/>
        <family val="0"/>
        <charset val="1"/>
      </rPr>
      <t xml:space="preserve">) — </t>
    </r>
    <r>
      <rPr>
        <sz val="9"/>
        <color rgb="FF595959"/>
        <rFont val="WenQuanYi Zen Hei"/>
        <family val="2"/>
      </rPr>
      <t xml:space="preserve">파란 글씨 칸을 견적서 수령 후 수정하면 합계 자동 반영</t>
    </r>
  </si>
  <si>
    <t xml:space="preserve">항목</t>
  </si>
  <si>
    <t xml:space="preserve">수량</t>
  </si>
  <si>
    <r>
      <rPr>
        <b val="true"/>
        <sz val="10"/>
        <color rgb="FFFFFFFF"/>
        <rFont val="WenQuanYi Zen Hei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</si>
  <si>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연간금액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</si>
  <si>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성격</t>
  </si>
  <si>
    <r>
      <rPr>
        <b val="true"/>
        <sz val="10"/>
        <color rgb="FFFFFFFF"/>
        <rFont val="WenQuanYi Zen Hei"/>
        <family val="2"/>
      </rPr>
      <t xml:space="preserve">현행 청구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납부</t>
    </r>
  </si>
  <si>
    <r>
      <rPr>
        <b val="true"/>
        <sz val="10"/>
        <color rgb="FFFFFFFF"/>
        <rFont val="WenQuanYi Zen Hei"/>
        <family val="2"/>
      </rPr>
      <t xml:space="preserve">변경안 청구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납부</t>
    </r>
  </si>
  <si>
    <t xml:space="preserve">변경안 지급월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</si>
  <si>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산정 기간</t>
    </r>
  </si>
  <si>
    <t xml:space="preserve">서버용 인증서</t>
  </si>
  <si>
    <t xml:space="preserve">선불</t>
  </si>
  <si>
    <r>
      <rPr>
        <sz val="10"/>
        <rFont val="WenQuanYi Zen Hei"/>
        <family val="2"/>
      </rPr>
      <t xml:space="preserve">매년 </t>
    </r>
    <r>
      <rPr>
        <sz val="10"/>
        <rFont val="Arial"/>
        <family val="0"/>
        <charset val="1"/>
      </rPr>
      <t xml:space="preserve">1.1 </t>
    </r>
    <r>
      <rPr>
        <sz val="10"/>
        <rFont val="WenQuanYi Zen Hei"/>
        <family val="2"/>
      </rPr>
      <t xml:space="preserve">청구 →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이내</t>
    </r>
  </si>
  <si>
    <r>
      <rPr>
        <sz val="10"/>
        <rFont val="WenQuanYi Zen Hei"/>
        <family val="2"/>
      </rPr>
      <t xml:space="preserve">매년 </t>
    </r>
    <r>
      <rPr>
        <sz val="10"/>
        <rFont val="Arial"/>
        <family val="0"/>
        <charset val="1"/>
      </rPr>
      <t xml:space="preserve">1.15 </t>
    </r>
    <r>
      <rPr>
        <sz val="10"/>
        <rFont val="WenQuanYi Zen Hei"/>
        <family val="2"/>
      </rPr>
      <t xml:space="preserve">일괄 청구 →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이내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</si>
  <si>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</si>
  <si>
    <r>
      <rPr>
        <sz val="10"/>
        <rFont val="WenQuanYi Zen Hei"/>
        <family val="2"/>
      </rPr>
      <t xml:space="preserve">서울사옥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백업센터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</si>
  <si>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t xml:space="preserve">법인용도제한용 인증서</t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</si>
  <si>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일 청구</t>
    </r>
    <r>
      <rPr>
        <sz val="10"/>
        <rFont val="Arial"/>
        <family val="0"/>
        <charset val="1"/>
      </rPr>
      <t xml:space="preserve">(12</t>
    </r>
    <r>
      <rPr>
        <sz val="10"/>
        <rFont val="WenQuanYi Zen Hei"/>
        <family val="2"/>
      </rPr>
      <t xml:space="preserve">회 분납</t>
    </r>
    <r>
      <rPr>
        <sz val="10"/>
        <rFont val="Arial"/>
        <family val="0"/>
        <charset val="1"/>
      </rPr>
      <t xml:space="preserve">) → 15</t>
    </r>
    <r>
      <rPr>
        <sz val="10"/>
        <rFont val="WenQuanYi Zen Hei"/>
        <family val="2"/>
      </rPr>
      <t xml:space="preserve">일 이내</t>
    </r>
  </si>
  <si>
    <r>
      <rPr>
        <sz val="10"/>
        <rFont val="WenQuanYi Zen Hei"/>
        <family val="2"/>
      </rPr>
      <t xml:space="preserve">수량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전년 </t>
    </r>
    <r>
      <rPr>
        <sz val="10"/>
        <rFont val="Arial"/>
        <family val="0"/>
        <charset val="1"/>
      </rPr>
      <t xml:space="preserve">11.1~</t>
    </r>
    <r>
      <rPr>
        <sz val="10"/>
        <rFont val="WenQuanYi Zen Hei"/>
        <family val="2"/>
      </rPr>
      <t xml:space="preserve">당해 </t>
    </r>
    <r>
      <rPr>
        <sz val="10"/>
        <rFont val="Arial"/>
        <family val="0"/>
        <charset val="1"/>
      </rPr>
      <t xml:space="preserve">10.31 </t>
    </r>
    <r>
      <rPr>
        <sz val="10"/>
        <rFont val="WenQuanYi Zen Hei"/>
        <family val="2"/>
      </rPr>
      <t xml:space="preserve">발급건수</t>
    </r>
  </si>
  <si>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서비스</t>
    </r>
  </si>
  <si>
    <t xml:space="preserve">후불</t>
  </si>
  <si>
    <r>
      <rPr>
        <sz val="10"/>
        <rFont val="WenQuanYi Zen Hei"/>
        <family val="2"/>
      </rPr>
      <t xml:space="preserve">매년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월 청구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기한 규정 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</si>
  <si>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12.10</t>
    </r>
    <r>
      <rPr>
        <sz val="10"/>
        <rFont val="WenQuanYi Zen Hei"/>
        <family val="2"/>
      </rPr>
      <t xml:space="preserve">까지 청구 →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이내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</si>
  <si>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</si>
  <si>
    <r>
      <rPr>
        <sz val="10"/>
        <rFont val="WenQuanYi Zen Hei"/>
        <family val="2"/>
      </rPr>
      <t xml:space="preserve">실적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전년 </t>
    </r>
    <r>
      <rPr>
        <sz val="10"/>
        <rFont val="Arial"/>
        <family val="0"/>
        <charset val="1"/>
      </rPr>
      <t xml:space="preserve">12.1~</t>
    </r>
    <r>
      <rPr>
        <sz val="10"/>
        <rFont val="WenQuanYi Zen Hei"/>
        <family val="2"/>
      </rPr>
      <t xml:space="preserve">당해 </t>
    </r>
    <r>
      <rPr>
        <sz val="10"/>
        <rFont val="Arial"/>
        <family val="0"/>
        <charset val="1"/>
      </rPr>
      <t xml:space="preserve">11.30 </t>
    </r>
    <r>
      <rPr>
        <sz val="10"/>
        <rFont val="WenQuanYi Zen Hei"/>
        <family val="2"/>
      </rPr>
      <t xml:space="preserve">이용건수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계약금액은 추정</t>
    </r>
    <r>
      <rPr>
        <sz val="10"/>
        <rFont val="Arial"/>
        <family val="0"/>
        <charset val="1"/>
      </rPr>
      <t xml:space="preserve">)</t>
    </r>
  </si>
  <si>
    <t xml:space="preserve">합계</t>
  </si>
  <si>
    <t xml:space="preserve">변경안 연간 지급</t>
  </si>
  <si>
    <t xml:space="preserve">지급월</t>
  </si>
  <si>
    <t xml:space="preserve">내용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</si>
  <si>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</si>
  <si>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지출 횟수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</si>
  <si>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</si>
  <si>
    <r>
      <rPr>
        <sz val="10"/>
        <rFont val="WenQuanYi Zen Hei"/>
        <family val="2"/>
      </rPr>
      <t xml:space="preserve">서버용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법인용 인증서 연간분</t>
    </r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</si>
  <si>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</si>
  <si>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실적정산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추정액</t>
    </r>
    <r>
      <rPr>
        <sz val="10"/>
        <rFont val="Arial"/>
        <family val="0"/>
        <charset val="1"/>
      </rPr>
      <t xml:space="preserve">)</t>
    </r>
  </si>
  <si>
    <t xml:space="preserve">현행 지출 횟수</t>
  </si>
  <si>
    <r>
      <rPr>
        <sz val="10"/>
        <rFont val="WenQuanYi Zen Hei"/>
        <family val="2"/>
      </rPr>
      <t xml:space="preserve">서버 </t>
    </r>
    <r>
      <rPr>
        <sz val="10"/>
        <rFont val="Arial"/>
        <family val="0"/>
        <charset val="1"/>
      </rPr>
      <t xml:space="preserve">1 + </t>
    </r>
    <r>
      <rPr>
        <sz val="10"/>
        <rFont val="WenQuanYi Zen Hei"/>
        <family val="2"/>
      </rPr>
      <t xml:space="preserve">법인 </t>
    </r>
    <r>
      <rPr>
        <sz val="10"/>
        <rFont val="Arial"/>
        <family val="0"/>
        <charset val="1"/>
      </rPr>
      <t xml:space="preserve">12 + OCSP 1</t>
    </r>
  </si>
  <si>
    <r>
      <rPr>
        <sz val="9"/>
        <color rgb="FF595959"/>
        <rFont val="WenQuanYi Zen Hei"/>
        <family val="2"/>
      </rPr>
      <t xml:space="preserve">※ 출처</t>
    </r>
    <r>
      <rPr>
        <sz val="9"/>
        <color rgb="FF595959"/>
        <rFont val="Arial"/>
        <family val="0"/>
        <charset val="1"/>
      </rPr>
      <t xml:space="preserve">: 2026</t>
    </r>
    <r>
      <rPr>
        <sz val="9"/>
        <color rgb="FF595959"/>
        <rFont val="WenQuanYi Zen Hei"/>
        <family val="2"/>
      </rPr>
      <t xml:space="preserve">년 계약서</t>
    </r>
    <r>
      <rPr>
        <sz val="9"/>
        <color rgb="FF595959"/>
        <rFont val="Arial"/>
        <family val="0"/>
        <charset val="1"/>
      </rPr>
      <t xml:space="preserve">(2025.12) </t>
    </r>
    <r>
      <rPr>
        <sz val="9"/>
        <color rgb="FF595959"/>
        <rFont val="WenQuanYi Zen Hei"/>
        <family val="2"/>
      </rPr>
      <t xml:space="preserve">공급내역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계약 일반조건 제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조</t>
    </r>
    <r>
      <rPr>
        <sz val="9"/>
        <color rgb="FF595959"/>
        <rFont val="Arial"/>
        <family val="0"/>
        <charset val="1"/>
      </rPr>
      <t xml:space="preserve">, OCSP </t>
    </r>
    <r>
      <rPr>
        <sz val="9"/>
        <color rgb="FF595959"/>
        <rFont val="WenQuanYi Zen Hei"/>
        <family val="2"/>
      </rPr>
      <t xml:space="preserve">정산기간은 사용자 확인</t>
    </r>
    <r>
      <rPr>
        <sz val="9"/>
        <color rgb="FF595959"/>
        <rFont val="Arial"/>
        <family val="0"/>
        <charset val="1"/>
      </rPr>
      <t xml:space="preserve">(2024.12.1~2025.11.30 </t>
    </r>
    <r>
      <rPr>
        <sz val="9"/>
        <color rgb="FF595959"/>
        <rFont val="WenQuanYi Zen Hei"/>
        <family val="2"/>
      </rPr>
      <t xml:space="preserve">실적으로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월 청구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</si>
  <si>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2025</t>
    </r>
    <r>
      <rPr>
        <b val="true"/>
        <sz val="14"/>
        <rFont val="WenQuanYi Zen Hei"/>
        <family val="2"/>
      </rPr>
      <t xml:space="preserve">년 재계약</t>
    </r>
    <r>
      <rPr>
        <b val="true"/>
        <sz val="14"/>
        <rFont val="Arial"/>
        <family val="0"/>
        <charset val="1"/>
      </rPr>
      <t xml:space="preserve">(2026</t>
    </r>
    <r>
      <rPr>
        <b val="true"/>
        <sz val="14"/>
        <rFont val="WenQuanYi Zen Hei"/>
        <family val="2"/>
      </rPr>
      <t xml:space="preserve">년 이용분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진행 이력</t>
    </r>
  </si>
  <si>
    <t xml:space="preserve">일자</t>
  </si>
  <si>
    <t xml:space="preserve">구분</t>
  </si>
  <si>
    <t xml:space="preserve">인수인계 메일</t>
  </si>
  <si>
    <r>
      <rPr>
        <sz val="10"/>
        <rFont val="WenQuanYi Zen Hei"/>
        <family val="2"/>
      </rPr>
      <t xml:space="preserve">전년 자료 공유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총무부 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월 중 의뢰 희망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코스콤 갱신자료 요청</t>
    </r>
  </si>
  <si>
    <t xml:space="preserve">견적 수령</t>
  </si>
  <si>
    <r>
      <rPr>
        <sz val="10"/>
        <rFont val="WenQuanYi Zen Hei"/>
        <family val="2"/>
      </rPr>
      <t xml:space="preserve">코스콤 견적서 </t>
    </r>
    <r>
      <rPr>
        <sz val="10"/>
        <rFont val="Arial"/>
        <family val="0"/>
        <charset val="1"/>
      </rPr>
      <t xml:space="preserve">81,122,620</t>
    </r>
    <r>
      <rPr>
        <sz val="10"/>
        <rFont val="WenQuanYi Zen Hei"/>
        <family val="2"/>
      </rPr>
      <t xml:space="preserve">원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유효 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과거 이용금액 산정</t>
    </r>
  </si>
  <si>
    <r>
      <rPr>
        <sz val="10"/>
        <rFont val="WenQuanYi Zen Hei"/>
        <family val="2"/>
      </rPr>
      <t xml:space="preserve">팀장 보고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송부</t>
    </r>
  </si>
  <si>
    <r>
      <rPr>
        <sz val="10"/>
        <rFont val="Arial"/>
        <family val="0"/>
        <charset val="1"/>
      </rPr>
      <t xml:space="preserve">14:34 </t>
    </r>
    <r>
      <rPr>
        <sz val="10"/>
        <rFont val="WenQuanYi Zen Hei"/>
        <family val="2"/>
      </rPr>
      <t xml:space="preserve">팀장 보고 → </t>
    </r>
    <r>
      <rPr>
        <sz val="10"/>
        <rFont val="Arial"/>
        <family val="0"/>
        <charset val="1"/>
      </rPr>
      <t xml:space="preserve">14:55 </t>
    </r>
    <r>
      <rPr>
        <sz val="10"/>
        <rFont val="WenQuanYi Zen Hei"/>
        <family val="2"/>
      </rPr>
      <t xml:space="preserve">총무부 송부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차본</t>
    </r>
    <r>
      <rPr>
        <sz val="10"/>
        <rFont val="Arial"/>
        <family val="0"/>
        <charset val="1"/>
      </rPr>
      <t xml:space="preserve">) → 15:01 </t>
    </r>
    <r>
      <rPr>
        <sz val="10"/>
        <rFont val="WenQuanYi Zen Hei"/>
        <family val="2"/>
      </rPr>
      <t xml:space="preserve">감사부 송부</t>
    </r>
  </si>
  <si>
    <t xml:space="preserve">재송부</t>
  </si>
  <si>
    <r>
      <rPr>
        <sz val="10"/>
        <rFont val="WenQuanYi Zen Hei"/>
        <family val="2"/>
      </rPr>
      <t xml:space="preserve">감사부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예산항목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계약방법 수정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총무부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수의계약사유서 작성</t>
    </r>
    <r>
      <rPr>
        <sz val="10"/>
        <rFont val="Arial"/>
        <family val="0"/>
        <charset val="1"/>
      </rPr>
      <t xml:space="preserve">, 11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OCSP </t>
    </r>
    <r>
      <rPr>
        <sz val="10"/>
        <rFont val="WenQuanYi Zen Hei"/>
        <family val="2"/>
      </rPr>
      <t xml:space="preserve">반영</t>
    </r>
  </si>
  <si>
    <r>
      <rPr>
        <sz val="10"/>
        <rFont val="WenQuanYi Zen Hei"/>
        <family val="2"/>
      </rPr>
      <t xml:space="preserve">재송부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차본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</si>
  <si>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총무부 요청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계약규정 차목→자목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의뢰문서에 계약규정 원문 포함</t>
    </r>
  </si>
  <si>
    <t xml:space="preserve">공문 시행</t>
  </si>
  <si>
    <r>
      <rPr>
        <sz val="10"/>
        <rFont val="WenQuanYi Zen Hei"/>
        <family val="2"/>
      </rPr>
      <t xml:space="preserve">등록업무</t>
    </r>
    <r>
      <rPr>
        <sz val="10"/>
        <rFont val="Arial"/>
        <family val="0"/>
        <charset val="1"/>
      </rPr>
      <t xml:space="preserve">-6903 </t>
    </r>
    <r>
      <rPr>
        <sz val="10"/>
        <rFont val="WenQuanYi Zen Hei"/>
        <family val="2"/>
      </rPr>
      <t xml:space="preserve">체결방안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일상감사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등록업무</t>
    </r>
    <r>
      <rPr>
        <sz val="10"/>
        <rFont val="Arial"/>
        <family val="0"/>
        <charset val="1"/>
      </rPr>
      <t xml:space="preserve">-6921 </t>
    </r>
    <r>
      <rPr>
        <sz val="10"/>
        <rFont val="WenQuanYi Zen Hei"/>
        <family val="2"/>
      </rPr>
      <t xml:space="preserve">체결의뢰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총무부장</t>
    </r>
    <r>
      <rPr>
        <sz val="10"/>
        <rFont val="Arial"/>
        <family val="0"/>
        <charset val="1"/>
      </rPr>
      <t xml:space="preserve">)</t>
    </r>
  </si>
  <si>
    <t xml:space="preserve">체결 통보</t>
  </si>
  <si>
    <r>
      <rPr>
        <sz val="10"/>
        <rFont val="WenQuanYi Zen Hei"/>
        <family val="2"/>
      </rPr>
      <t xml:space="preserve">등록업무</t>
    </r>
    <r>
      <rPr>
        <sz val="10"/>
        <rFont val="Arial"/>
        <family val="0"/>
        <charset val="1"/>
      </rPr>
      <t xml:space="preserve">-7403 </t>
    </r>
    <r>
      <rPr>
        <sz val="10"/>
        <rFont val="WenQuanYi Zen Hei"/>
        <family val="2"/>
      </rPr>
      <t xml:space="preserve">총무부 계약체결 통보 접수</t>
    </r>
  </si>
  <si>
    <t xml:space="preserve">계약 개시</t>
  </si>
  <si>
    <t xml:space="preserve">2026.1.1~12.31</t>
  </si>
  <si>
    <t xml:space="preserve">지출</t>
  </si>
  <si>
    <r>
      <rPr>
        <sz val="10"/>
        <rFont val="WenQuanYi Zen Hei"/>
        <family val="2"/>
      </rPr>
      <t xml:space="preserve">등록업무</t>
    </r>
    <r>
      <rPr>
        <sz val="10"/>
        <rFont val="Arial"/>
        <family val="0"/>
        <charset val="1"/>
      </rPr>
      <t xml:space="preserve">-466 2026</t>
    </r>
    <r>
      <rPr>
        <sz val="10"/>
        <rFont val="WenQuanYi Zen Hei"/>
        <family val="2"/>
      </rPr>
      <t xml:space="preserve">년 서버인증서 수수료 지급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</si>
</sst>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m/d"/>
    <numFmt numFmtId="167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name val="WenQuanYi Zen Hei"/>
      <family val="2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8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10"/>
      <color rgb="FFC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EDE1F5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00000"/>
        </patternFill>
      </fill>
    </dxf>
    <dxf>
      <fill>
        <patternFill>
          <bgColor rgb="FF2E75B6"/>
        </patternFill>
      </fill>
    </dxf>
    <dxf>
      <fill>
        <patternFill>
          <bgColor rgb="FFF8CBAD"/>
        </patternFill>
      </fill>
    </dxf>
    <dxf>
      <font>
        <b val="1"/>
        <color rgb="FFFFFFFF"/>
      </font>
      <fill>
        <patternFill>
          <bgColor rgb="FFC00000"/>
        </patternFill>
      </fill>
    </dxf>
    <dxf>
      <font>
        <color rgb="FF80808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1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28"/>
    <col collapsed="false" customWidth="true" hidden="false" outlineLevel="0" max="23" min="9" style="0" width="3.2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v>46384</v>
      </c>
      <c r="D3" s="2" t="s">
        <v>3</v>
      </c>
    </row>
    <row r="4" customFormat="false" ht="15" hidden="false" customHeight="false" outlineLevel="0" collapsed="false">
      <c r="I4" s="5" t="s">
        <v>4</v>
      </c>
    </row>
    <row r="5" customFormat="false" ht="39.75" hidden="false" customHeight="true" outlineLevel="0" collapsed="false">
      <c r="A5" s="6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6" t="s">
        <v>10</v>
      </c>
      <c r="G5" s="7" t="s">
        <v>11</v>
      </c>
      <c r="H5" s="7" t="s">
        <v>12</v>
      </c>
      <c r="I5" s="8" t="n">
        <v>46314</v>
      </c>
      <c r="J5" s="8" t="n">
        <v>46321</v>
      </c>
      <c r="K5" s="8" t="n">
        <v>46328</v>
      </c>
      <c r="L5" s="8" t="n">
        <v>46335</v>
      </c>
      <c r="M5" s="8" t="n">
        <v>46342</v>
      </c>
      <c r="N5" s="8" t="n">
        <v>46349</v>
      </c>
      <c r="O5" s="8" t="n">
        <v>46356</v>
      </c>
      <c r="P5" s="8" t="n">
        <v>46363</v>
      </c>
      <c r="Q5" s="8" t="n">
        <v>46370</v>
      </c>
      <c r="R5" s="8" t="n">
        <v>46377</v>
      </c>
      <c r="S5" s="8" t="n">
        <v>46384</v>
      </c>
      <c r="T5" s="8" t="n">
        <v>46391</v>
      </c>
      <c r="U5" s="8" t="n">
        <v>46398</v>
      </c>
      <c r="V5" s="8" t="n">
        <v>46405</v>
      </c>
      <c r="W5" s="8" t="n">
        <v>46412</v>
      </c>
    </row>
    <row r="6" customFormat="false" ht="31.5" hidden="false" customHeight="true" outlineLevel="0" collapsed="false">
      <c r="A6" s="9" t="n">
        <v>1</v>
      </c>
      <c r="B6" s="10" t="s">
        <v>13</v>
      </c>
      <c r="C6" s="11" t="s">
        <v>14</v>
      </c>
      <c r="D6" s="12" t="n">
        <v>46316</v>
      </c>
      <c r="E6" s="12" t="n">
        <v>46316</v>
      </c>
      <c r="F6" s="9" t="str">
        <f aca="false">IF($C$3-D6&gt;0,"D-"&amp;($C$3-D6),IF($C$3=D6,"D-Day","D+"&amp;(D6-$C$3)))</f>
        <v>D-68</v>
      </c>
      <c r="G6" s="11" t="s">
        <v>15</v>
      </c>
      <c r="H6" s="13" t="s">
        <v>16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</row>
    <row r="7" customFormat="false" ht="31.5" hidden="false" customHeight="true" outlineLevel="0" collapsed="false">
      <c r="A7" s="9" t="n">
        <v>2</v>
      </c>
      <c r="B7" s="10" t="s">
        <v>13</v>
      </c>
      <c r="C7" s="15" t="s">
        <v>17</v>
      </c>
      <c r="D7" s="12" t="n">
        <v>46317</v>
      </c>
      <c r="E7" s="12" t="n">
        <v>46325</v>
      </c>
      <c r="F7" s="9" t="str">
        <f aca="false">IF($C$3-D7&gt;0,"D-"&amp;($C$3-D7),IF($C$3=D7,"D-Day","D+"&amp;(D7-$C$3)))</f>
        <v>D-67</v>
      </c>
      <c r="G7" s="11" t="s">
        <v>18</v>
      </c>
      <c r="H7" s="11" t="s">
        <v>19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</row>
    <row r="8" customFormat="false" ht="31.5" hidden="false" customHeight="true" outlineLevel="0" collapsed="false">
      <c r="A8" s="9" t="n">
        <v>3</v>
      </c>
      <c r="B8" s="10" t="s">
        <v>13</v>
      </c>
      <c r="C8" s="13" t="s">
        <v>20</v>
      </c>
      <c r="D8" s="12" t="n">
        <v>46317</v>
      </c>
      <c r="E8" s="12" t="n">
        <v>46325</v>
      </c>
      <c r="F8" s="9" t="str">
        <f aca="false">IF($C$3-D8&gt;0,"D-"&amp;($C$3-D8),IF($C$3=D8,"D-Day","D+"&amp;(D8-$C$3)))</f>
        <v>D-67</v>
      </c>
      <c r="G8" s="11" t="s">
        <v>21</v>
      </c>
      <c r="H8" s="11" t="s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</row>
    <row r="9" customFormat="false" ht="31.5" hidden="false" customHeight="true" outlineLevel="0" collapsed="false">
      <c r="A9" s="9" t="n">
        <v>4</v>
      </c>
      <c r="B9" s="10" t="s">
        <v>13</v>
      </c>
      <c r="C9" s="11" t="s">
        <v>23</v>
      </c>
      <c r="D9" s="12" t="n">
        <v>46328</v>
      </c>
      <c r="E9" s="12" t="n">
        <v>46332</v>
      </c>
      <c r="F9" s="9" t="str">
        <f aca="false">IF($C$3-D9&gt;0,"D-"&amp;($C$3-D9),IF($C$3=D9,"D-Day","D+"&amp;(D9-$C$3)))</f>
        <v>D-56</v>
      </c>
      <c r="G9" s="11" t="s">
        <v>24</v>
      </c>
      <c r="H9" s="11" t="s">
        <v>25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</row>
    <row r="10" customFormat="false" ht="31.5" hidden="false" customHeight="true" outlineLevel="0" collapsed="false">
      <c r="A10" s="9" t="n">
        <v>5</v>
      </c>
      <c r="B10" s="16" t="s">
        <v>26</v>
      </c>
      <c r="C10" s="15" t="s">
        <v>27</v>
      </c>
      <c r="D10" s="12" t="n">
        <v>46342</v>
      </c>
      <c r="E10" s="12" t="n">
        <v>46346</v>
      </c>
      <c r="F10" s="9" t="str">
        <f aca="false">IF($C$3-D10&gt;0,"D-"&amp;($C$3-D10),IF($C$3=D10,"D-Day","D+"&amp;(D10-$C$3)))</f>
        <v>D-42</v>
      </c>
      <c r="G10" s="11" t="s">
        <v>15</v>
      </c>
      <c r="H10" s="11" t="s">
        <v>28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</row>
    <row r="11" customFormat="false" ht="31.5" hidden="false" customHeight="true" outlineLevel="0" collapsed="false">
      <c r="A11" s="9" t="n">
        <v>6</v>
      </c>
      <c r="B11" s="16" t="s">
        <v>26</v>
      </c>
      <c r="C11" s="11" t="s">
        <v>29</v>
      </c>
      <c r="D11" s="12" t="n">
        <v>46349</v>
      </c>
      <c r="E11" s="12" t="n">
        <v>46351</v>
      </c>
      <c r="F11" s="9" t="str">
        <f aca="false">IF($C$3-D11&gt;0,"D-"&amp;($C$3-D11),IF($C$3=D11,"D-Day","D+"&amp;(D11-$C$3)))</f>
        <v>D-35</v>
      </c>
      <c r="G11" s="11" t="s">
        <v>24</v>
      </c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</row>
    <row r="12" customFormat="false" ht="31.5" hidden="false" customHeight="true" outlineLevel="0" collapsed="false">
      <c r="A12" s="9" t="n">
        <v>7</v>
      </c>
      <c r="B12" s="16" t="s">
        <v>26</v>
      </c>
      <c r="C12" s="11" t="s">
        <v>30</v>
      </c>
      <c r="D12" s="12" t="n">
        <v>46352</v>
      </c>
      <c r="E12" s="12" t="n">
        <v>46353</v>
      </c>
      <c r="F12" s="9" t="str">
        <f aca="false">IF($C$3-D12&gt;0,"D-"&amp;($C$3-D12),IF($C$3=D12,"D-Day","D+"&amp;(D12-$C$3)))</f>
        <v>D-32</v>
      </c>
      <c r="G12" s="11" t="s">
        <v>31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</row>
    <row r="13" customFormat="false" ht="31.5" hidden="false" customHeight="true" outlineLevel="0" collapsed="false">
      <c r="A13" s="9" t="n">
        <v>8</v>
      </c>
      <c r="B13" s="16" t="s">
        <v>26</v>
      </c>
      <c r="C13" s="15" t="s">
        <v>32</v>
      </c>
      <c r="D13" s="12" t="n">
        <v>46356</v>
      </c>
      <c r="E13" s="12" t="n">
        <v>46358</v>
      </c>
      <c r="F13" s="9" t="str">
        <f aca="false">IF($C$3-D13&gt;0,"D-"&amp;($C$3-D13),IF($C$3=D13,"D-Day","D+"&amp;(D13-$C$3)))</f>
        <v>D-28</v>
      </c>
      <c r="G13" s="11" t="s">
        <v>33</v>
      </c>
      <c r="H13" s="11" t="s">
        <v>34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</row>
    <row r="14" customFormat="false" ht="31.5" hidden="false" customHeight="true" outlineLevel="0" collapsed="false">
      <c r="A14" s="9" t="n">
        <v>9</v>
      </c>
      <c r="B14" s="16" t="s">
        <v>26</v>
      </c>
      <c r="C14" s="13" t="s">
        <v>35</v>
      </c>
      <c r="D14" s="12" t="n">
        <v>46357</v>
      </c>
      <c r="E14" s="12" t="n">
        <v>46359</v>
      </c>
      <c r="F14" s="9" t="str">
        <f aca="false">IF($C$3-D14&gt;0,"D-"&amp;($C$3-D14),IF($C$3=D14,"D-Day","D+"&amp;(D14-$C$3)))</f>
        <v>D-27</v>
      </c>
      <c r="G14" s="11" t="s">
        <v>15</v>
      </c>
      <c r="H14" s="11" t="s">
        <v>36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</row>
    <row r="15" customFormat="false" ht="31.5" hidden="false" customHeight="true" outlineLevel="0" collapsed="false">
      <c r="A15" s="9" t="n">
        <v>10</v>
      </c>
      <c r="B15" s="16" t="s">
        <v>26</v>
      </c>
      <c r="C15" s="15" t="s">
        <v>37</v>
      </c>
      <c r="D15" s="12" t="n">
        <v>46359</v>
      </c>
      <c r="E15" s="12" t="n">
        <v>46360</v>
      </c>
      <c r="F15" s="9" t="str">
        <f aca="false">IF($C$3-D15&gt;0,"D-"&amp;($C$3-D15),IF($C$3=D15,"D-Day","D+"&amp;(D15-$C$3)))</f>
        <v>D-25</v>
      </c>
      <c r="G15" s="11" t="s">
        <v>18</v>
      </c>
      <c r="H15" s="11" t="s">
        <v>38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 customFormat="false" ht="31.5" hidden="false" customHeight="true" outlineLevel="0" collapsed="false">
      <c r="A16" s="9" t="n">
        <v>11</v>
      </c>
      <c r="B16" s="17" t="s">
        <v>39</v>
      </c>
      <c r="C16" s="13" t="s">
        <v>40</v>
      </c>
      <c r="D16" s="12" t="n">
        <v>46357</v>
      </c>
      <c r="E16" s="12" t="n">
        <v>46366</v>
      </c>
      <c r="F16" s="9" t="str">
        <f aca="false">IF($C$3-D16&gt;0,"D-"&amp;($C$3-D16),IF($C$3=D16,"D-Day","D+"&amp;(D16-$C$3)))</f>
        <v>D-27</v>
      </c>
      <c r="G16" s="11" t="s">
        <v>15</v>
      </c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</row>
    <row r="17" customFormat="false" ht="31.5" hidden="false" customHeight="true" outlineLevel="0" collapsed="false">
      <c r="A17" s="9" t="n">
        <v>12</v>
      </c>
      <c r="B17" s="17" t="s">
        <v>39</v>
      </c>
      <c r="C17" s="13" t="s">
        <v>41</v>
      </c>
      <c r="D17" s="12" t="n">
        <v>46367</v>
      </c>
      <c r="E17" s="12" t="n">
        <v>46374</v>
      </c>
      <c r="F17" s="9" t="str">
        <f aca="false">IF($C$3-D17&gt;0,"D-"&amp;($C$3-D17),IF($C$3=D17,"D-Day","D+"&amp;(D17-$C$3)))</f>
        <v>D-17</v>
      </c>
      <c r="G17" s="11" t="s">
        <v>42</v>
      </c>
      <c r="H17" s="11" t="s">
        <v>43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</row>
    <row r="18" customFormat="false" ht="31.5" hidden="false" customHeight="true" outlineLevel="0" collapsed="false">
      <c r="A18" s="9" t="n">
        <v>13</v>
      </c>
      <c r="B18" s="17" t="s">
        <v>39</v>
      </c>
      <c r="C18" s="11" t="s">
        <v>44</v>
      </c>
      <c r="D18" s="12" t="n">
        <v>46380</v>
      </c>
      <c r="E18" s="12" t="n">
        <v>46380</v>
      </c>
      <c r="F18" s="9" t="str">
        <f aca="false">IF($C$3-D18&gt;0,"D-"&amp;($C$3-D18),IF($C$3=D18,"D-Day","D+"&amp;(D18-$C$3)))</f>
        <v>D-4</v>
      </c>
      <c r="G18" s="11" t="s">
        <v>15</v>
      </c>
      <c r="H18" s="13" t="s">
        <v>45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customFormat="false" ht="31.5" hidden="false" customHeight="true" outlineLevel="0" collapsed="false">
      <c r="A19" s="9" t="n">
        <v>14</v>
      </c>
      <c r="B19" s="17" t="s">
        <v>39</v>
      </c>
      <c r="C19" s="15" t="s">
        <v>46</v>
      </c>
      <c r="D19" s="12" t="n">
        <v>46384</v>
      </c>
      <c r="E19" s="12" t="n">
        <v>46384</v>
      </c>
      <c r="F19" s="9" t="str">
        <f aca="false">IF($C$3-D19&gt;0,"D-"&amp;($C$3-D19),IF($C$3=D19,"D-Day","D+"&amp;(D19-$C$3)))</f>
        <v>D-Day</v>
      </c>
      <c r="G19" s="11" t="s">
        <v>18</v>
      </c>
      <c r="H19" s="11" t="s">
        <v>47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customFormat="false" ht="31.5" hidden="false" customHeight="true" outlineLevel="0" collapsed="false">
      <c r="A20" s="9" t="n">
        <v>15</v>
      </c>
      <c r="B20" s="18" t="s">
        <v>48</v>
      </c>
      <c r="C20" s="15" t="s">
        <v>49</v>
      </c>
      <c r="D20" s="12" t="n">
        <v>46388</v>
      </c>
      <c r="E20" s="12" t="n">
        <v>46388</v>
      </c>
      <c r="F20" s="9" t="str">
        <f aca="false">IF($C$3-D20&gt;0,"D-"&amp;($C$3-D20),IF($C$3=D20,"D-Day","D+"&amp;(D20-$C$3)))</f>
        <v>D+4</v>
      </c>
      <c r="G20" s="13"/>
      <c r="H20" s="13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customFormat="false" ht="31.5" hidden="false" customHeight="true" outlineLevel="0" collapsed="false">
      <c r="A21" s="9" t="n">
        <v>16</v>
      </c>
      <c r="B21" s="18" t="s">
        <v>48</v>
      </c>
      <c r="C21" s="11" t="s">
        <v>50</v>
      </c>
      <c r="D21" s="12" t="n">
        <v>46402</v>
      </c>
      <c r="E21" s="12" t="n">
        <v>46402</v>
      </c>
      <c r="F21" s="9" t="str">
        <f aca="false">IF($C$3-D21&gt;0,"D-"&amp;($C$3-D21),IF($C$3=D21,"D-Day","D+"&amp;(D21-$C$3)))</f>
        <v>D+18</v>
      </c>
      <c r="G21" s="11" t="s">
        <v>15</v>
      </c>
      <c r="H21" s="13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customFormat="false" ht="31.5" hidden="false" customHeight="true" outlineLevel="0" collapsed="false">
      <c r="A22" s="9" t="n">
        <v>17</v>
      </c>
      <c r="B22" s="18" t="s">
        <v>48</v>
      </c>
      <c r="C22" s="15" t="s">
        <v>51</v>
      </c>
      <c r="D22" s="12" t="n">
        <v>46405</v>
      </c>
      <c r="E22" s="12" t="n">
        <v>46416</v>
      </c>
      <c r="F22" s="9" t="str">
        <f aca="false">IF($C$3-D22&gt;0,"D-"&amp;($C$3-D22),IF($C$3=D22,"D-Day","D+"&amp;(D22-$C$3)))</f>
        <v>D+21</v>
      </c>
      <c r="G22" s="11" t="s">
        <v>42</v>
      </c>
      <c r="H22" s="11" t="s">
        <v>52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customFormat="false" ht="31.5" hidden="false" customHeight="true" outlineLevel="0" collapsed="false">
      <c r="A23" s="9" t="n">
        <v>18</v>
      </c>
      <c r="B23" s="18" t="s">
        <v>48</v>
      </c>
      <c r="C23" s="13" t="s">
        <v>53</v>
      </c>
      <c r="D23" s="12" t="n">
        <v>46722</v>
      </c>
      <c r="E23" s="12" t="n">
        <v>46731</v>
      </c>
      <c r="F23" s="9" t="str">
        <f aca="false">IF($C$3-D23&gt;0,"D-"&amp;($C$3-D23),IF($C$3=D23,"D-Day","D+"&amp;(D23-$C$3)))</f>
        <v>D+338</v>
      </c>
      <c r="G23" s="11" t="s">
        <v>15</v>
      </c>
      <c r="H23" s="13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customFormat="false" ht="31.5" hidden="false" customHeight="true" outlineLevel="0" collapsed="false">
      <c r="A24" s="9" t="n">
        <v>19</v>
      </c>
      <c r="B24" s="18" t="s">
        <v>48</v>
      </c>
      <c r="C24" s="13" t="s">
        <v>54</v>
      </c>
      <c r="D24" s="12" t="n">
        <v>46732</v>
      </c>
      <c r="E24" s="12" t="n">
        <v>46745</v>
      </c>
      <c r="F24" s="9" t="str">
        <f aca="false">IF($C$3-D24&gt;0,"D-"&amp;($C$3-D24),IF($C$3=D24,"D-Day","D+"&amp;(D24-$C$3)))</f>
        <v>D+348</v>
      </c>
      <c r="G24" s="11" t="s">
        <v>42</v>
      </c>
      <c r="H24" s="11" t="s">
        <v>52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6" customFormat="false" ht="15" hidden="false" customHeight="false" outlineLevel="0" collapsed="false">
      <c r="A26" s="3" t="s">
        <v>55</v>
      </c>
    </row>
    <row r="27" customFormat="false" ht="15" hidden="false" customHeight="false" outlineLevel="0" collapsed="false">
      <c r="A27" s="19" t="s">
        <v>56</v>
      </c>
    </row>
  </sheetData>
  <conditionalFormatting sqref="I6:W24">
    <cfRule type="expression" priority="2" aboveAverage="0" equalAverage="0" bottom="0" percent="0" rank="0" text="" dxfId="0">
      <formula>AND($C$3&gt;=I$5,$C$3&lt;=I$5+6,$D6&lt;=I$5+6,$E6&gt;=I$5)</formula>
    </cfRule>
    <cfRule type="expression" priority="3" aboveAverage="0" equalAverage="0" bottom="0" percent="0" rank="0" text="" dxfId="1">
      <formula>AND($D6&lt;=I$5+6,$E6&gt;=I$5)</formula>
    </cfRule>
    <cfRule type="expression" priority="4" aboveAverage="0" equalAverage="0" bottom="0" percent="0" rank="0" text="" dxfId="2">
      <formula>AND($C$3&gt;=I$5,$C$3&lt;=I$5+6)</formula>
    </cfRule>
  </conditionalFormatting>
  <conditionalFormatting sqref="F6:F24">
    <cfRule type="expression" priority="5" aboveAverage="0" equalAverage="0" bottom="0" percent="0" rank="0" text="" dxfId="3">
      <formula>$F6="D-Day"</formula>
    </cfRule>
    <cfRule type="expression" priority="6" aboveAverage="0" equalAverage="0" bottom="0" percent="0" rank="0" text="" dxfId="4">
      <formula>LEFT($F6,2)="D+"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7" min="6" style="0" width="30"/>
    <col collapsed="false" customWidth="true" hidden="false" outlineLevel="0" max="8" min="8" style="0" width="12"/>
    <col collapsed="false" customWidth="true" hidden="false" outlineLevel="0" max="9" min="9" style="0" width="34"/>
  </cols>
  <sheetData>
    <row r="1" customFormat="false" ht="19.4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7" t="s">
        <v>59</v>
      </c>
      <c r="B4" s="7" t="s">
        <v>60</v>
      </c>
      <c r="C4" s="7" t="s">
        <v>61</v>
      </c>
      <c r="D4" s="7" t="s">
        <v>62</v>
      </c>
      <c r="E4" s="7" t="s">
        <v>63</v>
      </c>
      <c r="F4" s="7" t="s">
        <v>64</v>
      </c>
      <c r="G4" s="7" t="s">
        <v>65</v>
      </c>
      <c r="H4" s="7" t="s">
        <v>66</v>
      </c>
      <c r="I4" s="7" t="s">
        <v>67</v>
      </c>
    </row>
    <row r="5" customFormat="false" ht="15" hidden="false" customHeight="false" outlineLevel="0" collapsed="false">
      <c r="A5" s="20" t="s">
        <v>68</v>
      </c>
      <c r="B5" s="21" t="n">
        <v>2</v>
      </c>
      <c r="C5" s="21" t="n">
        <v>1100000</v>
      </c>
      <c r="D5" s="22" t="n">
        <f aca="false">B5*C5</f>
        <v>2200000</v>
      </c>
      <c r="E5" s="20" t="s">
        <v>69</v>
      </c>
      <c r="F5" s="20" t="s">
        <v>70</v>
      </c>
      <c r="G5" s="20" t="s">
        <v>71</v>
      </c>
      <c r="H5" s="23" t="s">
        <v>72</v>
      </c>
      <c r="I5" s="20" t="s">
        <v>73</v>
      </c>
    </row>
    <row r="6" customFormat="false" ht="26.85" hidden="false" customHeight="false" outlineLevel="0" collapsed="false">
      <c r="A6" s="20" t="s">
        <v>74</v>
      </c>
      <c r="B6" s="21" t="n">
        <v>11523</v>
      </c>
      <c r="C6" s="21" t="n">
        <v>6600</v>
      </c>
      <c r="D6" s="22" t="n">
        <f aca="false">B6*C6</f>
        <v>76051800</v>
      </c>
      <c r="E6" s="20" t="s">
        <v>69</v>
      </c>
      <c r="F6" s="20" t="s">
        <v>75</v>
      </c>
      <c r="G6" s="20" t="s">
        <v>71</v>
      </c>
      <c r="H6" s="23" t="s">
        <v>72</v>
      </c>
      <c r="I6" s="20" t="s">
        <v>76</v>
      </c>
    </row>
    <row r="7" customFormat="false" ht="26.85" hidden="false" customHeight="false" outlineLevel="0" collapsed="false">
      <c r="A7" s="23" t="s">
        <v>77</v>
      </c>
      <c r="B7" s="21" t="n">
        <v>95694</v>
      </c>
      <c r="C7" s="21" t="n">
        <v>30</v>
      </c>
      <c r="D7" s="22" t="n">
        <f aca="false">B7*C7</f>
        <v>2870820</v>
      </c>
      <c r="E7" s="20" t="s">
        <v>78</v>
      </c>
      <c r="F7" s="20" t="s">
        <v>79</v>
      </c>
      <c r="G7" s="23" t="s">
        <v>80</v>
      </c>
      <c r="H7" s="23" t="s">
        <v>81</v>
      </c>
      <c r="I7" s="20" t="s">
        <v>82</v>
      </c>
    </row>
    <row r="8" customFormat="false" ht="15" hidden="false" customHeight="false" outlineLevel="0" collapsed="false">
      <c r="A8" s="24" t="s">
        <v>83</v>
      </c>
      <c r="B8" s="14"/>
      <c r="C8" s="14"/>
      <c r="D8" s="25" t="n">
        <f aca="false">SUM(D5:D7)</f>
        <v>81122620</v>
      </c>
      <c r="E8" s="14"/>
      <c r="F8" s="14"/>
      <c r="G8" s="14"/>
      <c r="H8" s="14"/>
      <c r="I8" s="14"/>
    </row>
    <row r="10" customFormat="false" ht="15" hidden="false" customHeight="false" outlineLevel="0" collapsed="false">
      <c r="A10" s="26" t="s">
        <v>84</v>
      </c>
    </row>
    <row r="11" customFormat="false" ht="15" hidden="false" customHeight="false" outlineLevel="0" collapsed="false">
      <c r="A11" s="27" t="s">
        <v>85</v>
      </c>
      <c r="B11" s="27" t="s">
        <v>86</v>
      </c>
      <c r="C11" s="27" t="s">
        <v>87</v>
      </c>
      <c r="D11" s="27" t="s">
        <v>88</v>
      </c>
    </row>
    <row r="12" customFormat="false" ht="15" hidden="false" customHeight="false" outlineLevel="0" collapsed="false">
      <c r="A12" s="28" t="s">
        <v>89</v>
      </c>
      <c r="B12" s="29" t="s">
        <v>90</v>
      </c>
      <c r="C12" s="30" t="n">
        <f aca="false">SUMIFS(D5:D7,H5:H7,"1월")</f>
        <v>78251800</v>
      </c>
      <c r="D12" s="28" t="n">
        <v>1</v>
      </c>
    </row>
    <row r="13" customFormat="false" ht="15" hidden="false" customHeight="false" outlineLevel="0" collapsed="false">
      <c r="A13" s="28" t="s">
        <v>91</v>
      </c>
      <c r="B13" s="28" t="s">
        <v>92</v>
      </c>
      <c r="C13" s="30" t="n">
        <f aca="false">SUMIFS(D5:D7,H5:H7,"12월")</f>
        <v>2870820</v>
      </c>
      <c r="D13" s="28" t="n">
        <v>1</v>
      </c>
    </row>
    <row r="14" customFormat="false" ht="15" hidden="false" customHeight="false" outlineLevel="0" collapsed="false">
      <c r="A14" s="24" t="s">
        <v>83</v>
      </c>
      <c r="B14" s="28"/>
      <c r="C14" s="25" t="n">
        <f aca="false">C12+C13</f>
        <v>81122620</v>
      </c>
      <c r="D14" s="28" t="n">
        <f aca="false">D12+D13</f>
        <v>2</v>
      </c>
    </row>
    <row r="15" customFormat="false" ht="15" hidden="false" customHeight="false" outlineLevel="0" collapsed="false">
      <c r="A15" s="29" t="s">
        <v>93</v>
      </c>
      <c r="B15" s="29" t="s">
        <v>94</v>
      </c>
      <c r="C15" s="30"/>
      <c r="D15" s="28" t="n">
        <v>14</v>
      </c>
    </row>
    <row r="17" customFormat="false" ht="15" hidden="false" customHeight="false" outlineLevel="0" collapsed="false">
      <c r="A17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9.4" hidden="false" customHeight="false" outlineLevel="0" collapsed="false">
      <c r="A1" s="31" t="s">
        <v>96</v>
      </c>
    </row>
    <row r="3" customFormat="false" ht="15" hidden="false" customHeight="false" outlineLevel="0" collapsed="false">
      <c r="A3" s="27" t="s">
        <v>97</v>
      </c>
      <c r="B3" s="27" t="s">
        <v>98</v>
      </c>
      <c r="C3" s="27" t="s">
        <v>86</v>
      </c>
    </row>
    <row r="4" customFormat="false" ht="15" hidden="false" customHeight="false" outlineLevel="0" collapsed="false">
      <c r="A4" s="32" t="n">
        <v>45974</v>
      </c>
      <c r="B4" s="20" t="s">
        <v>99</v>
      </c>
      <c r="C4" s="20" t="s">
        <v>100</v>
      </c>
    </row>
    <row r="5" customFormat="false" ht="15" hidden="false" customHeight="false" outlineLevel="0" collapsed="false">
      <c r="A5" s="32" t="n">
        <v>45979</v>
      </c>
      <c r="B5" s="20" t="s">
        <v>101</v>
      </c>
      <c r="C5" s="20" t="s">
        <v>102</v>
      </c>
    </row>
    <row r="6" customFormat="false" ht="15" hidden="false" customHeight="false" outlineLevel="0" collapsed="false">
      <c r="A6" s="32" t="n">
        <v>45989</v>
      </c>
      <c r="B6" s="20" t="s">
        <v>103</v>
      </c>
      <c r="C6" s="23" t="s">
        <v>104</v>
      </c>
    </row>
    <row r="7" customFormat="false" ht="15" hidden="false" customHeight="false" outlineLevel="0" collapsed="false">
      <c r="A7" s="32" t="n">
        <v>45992</v>
      </c>
      <c r="B7" s="20" t="s">
        <v>105</v>
      </c>
      <c r="C7" s="20" t="s">
        <v>106</v>
      </c>
    </row>
    <row r="8" customFormat="false" ht="15" hidden="false" customHeight="false" outlineLevel="0" collapsed="false">
      <c r="A8" s="32" t="n">
        <v>45993</v>
      </c>
      <c r="B8" s="20" t="s">
        <v>107</v>
      </c>
      <c r="C8" s="20" t="s">
        <v>108</v>
      </c>
    </row>
    <row r="9" customFormat="false" ht="15" hidden="false" customHeight="false" outlineLevel="0" collapsed="false">
      <c r="A9" s="32" t="n">
        <v>45996</v>
      </c>
      <c r="B9" s="20" t="s">
        <v>109</v>
      </c>
      <c r="C9" s="20" t="s">
        <v>110</v>
      </c>
    </row>
    <row r="10" customFormat="false" ht="15" hidden="false" customHeight="false" outlineLevel="0" collapsed="false">
      <c r="A10" s="32" t="n">
        <v>46020</v>
      </c>
      <c r="B10" s="20" t="s">
        <v>111</v>
      </c>
      <c r="C10" s="20" t="s">
        <v>112</v>
      </c>
    </row>
    <row r="11" customFormat="false" ht="15" hidden="false" customHeight="false" outlineLevel="0" collapsed="false">
      <c r="A11" s="32" t="n">
        <v>46023</v>
      </c>
      <c r="B11" s="20" t="s">
        <v>113</v>
      </c>
      <c r="C11" s="23" t="s">
        <v>114</v>
      </c>
    </row>
    <row r="12" customFormat="false" ht="15" hidden="false" customHeight="false" outlineLevel="0" collapsed="false">
      <c r="A12" s="32" t="n">
        <v>46048</v>
      </c>
      <c r="B12" s="20" t="s">
        <v>115</v>
      </c>
      <c r="C12" s="2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2026-10-21T06:55:02Z</dcterms:created>
  <dc:creator>openpyxl</dc:creator>
  <dc:description/>
  <dc:language>en-US</dc:language>
  <cp:lastModifiedBy/>
  <dcterms:modified xsi:type="dcterms:W3CDTF">2026-10-21T06:55:02Z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