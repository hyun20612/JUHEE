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타임라인" sheetId="1" state="visible" r:id="rId3"/>
    <sheet name="공휴일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<sst xmlns="http://schemas.openxmlformats.org/spreadsheetml/2006/main" count="131" uniqueCount="108">
  <si>
    <r>
      <rPr>
        <b val="true"/>
        <sz val="14"/>
        <rFont val="Arial"/>
        <family val="0"/>
        <charset val="1"/>
      </rPr>
      <t xml:space="preserve">OTP </t>
    </r>
    <r>
      <rPr>
        <b val="true"/>
        <sz val="14"/>
        <rFont val="WenQuanYi Zen Hei"/>
        <family val="2"/>
      </rPr>
      <t xml:space="preserve">일괄교체 타임라인 </t>
    </r>
    <r>
      <rPr>
        <b val="true"/>
        <sz val="14"/>
        <rFont val="Arial"/>
        <family val="0"/>
        <charset val="1"/>
      </rPr>
      <t xml:space="preserve">(2027</t>
    </r>
    <r>
      <rPr>
        <b val="true"/>
        <sz val="14"/>
        <rFont val="WenQuanYi Zen Hei"/>
        <family val="2"/>
      </rPr>
      <t xml:space="preserve">년 추진안</t>
    </r>
    <r>
      <rPr>
        <b val="true"/>
        <sz val="14"/>
        <rFont val="Arial"/>
        <family val="0"/>
        <charset val="1"/>
      </rPr>
      <t xml:space="preserve">)</t>
    </r>
  </si>
  <si>
    <r>
      <rPr>
        <sz val="9"/>
        <color rgb="FF595959"/>
        <rFont val="Arial"/>
        <family val="0"/>
        <charset val="1"/>
      </rPr>
      <t xml:space="preserve">2023</t>
    </r>
    <r>
      <rPr>
        <sz val="9"/>
        <color rgb="FF595959"/>
        <rFont val="WenQuanYi Zen Hei"/>
        <family val="2"/>
      </rPr>
      <t xml:space="preserve">년 수행 실적 기준으로 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WenQuanYi Zen Hei"/>
        <family val="2"/>
      </rPr>
      <t xml:space="preserve">년 일정 수립 </t>
    </r>
    <r>
      <rPr>
        <sz val="9"/>
        <color rgb="FF595959"/>
        <rFont val="Arial"/>
        <family val="0"/>
        <charset val="1"/>
      </rPr>
      <t xml:space="preserve">· D-Day = OTP </t>
    </r>
    <r>
      <rPr>
        <sz val="9"/>
        <color rgb="FF595959"/>
        <rFont val="WenQuanYi Zen Hei"/>
        <family val="2"/>
      </rPr>
      <t xml:space="preserve">교체 시작일</t>
    </r>
  </si>
  <si>
    <r>
      <rPr>
        <b val="true"/>
        <sz val="10"/>
        <rFont val="Arial"/>
        <family val="0"/>
        <charset val="1"/>
      </rPr>
      <t xml:space="preserve">D-day </t>
    </r>
    <r>
      <rPr>
        <b val="true"/>
        <sz val="10"/>
        <rFont val="WenQuanYi Zen Hei"/>
        <family val="2"/>
      </rPr>
      <t xml:space="preserve">기준일</t>
    </r>
    <r>
      <rPr>
        <b val="true"/>
        <sz val="10"/>
        <rFont val="Arial"/>
        <family val="0"/>
        <charset val="1"/>
      </rPr>
      <t xml:space="preserve">(OTP </t>
    </r>
    <r>
      <rPr>
        <b val="true"/>
        <sz val="10"/>
        <rFont val="WenQuanYi Zen Hei"/>
        <family val="2"/>
      </rPr>
      <t xml:space="preserve">교체 시작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</si>
  <si>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← 기준일</t>
    </r>
    <r>
      <rPr>
        <sz val="9"/>
        <color rgb="FF595959"/>
        <rFont val="Arial"/>
        <family val="0"/>
        <charset val="1"/>
      </rPr>
      <t xml:space="preserve">·2027 </t>
    </r>
    <r>
      <rPr>
        <sz val="9"/>
        <color rgb="FF595959"/>
        <rFont val="WenQuanYi Zen Hei"/>
        <family val="2"/>
      </rPr>
      <t xml:space="preserve">계획일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노란 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을 고치면 </t>
    </r>
    <r>
      <rPr>
        <sz val="9"/>
        <color rgb="FF595959"/>
        <rFont val="Arial"/>
        <family val="0"/>
        <charset val="1"/>
      </rPr>
      <t xml:space="preserve">D-day·</t>
    </r>
    <r>
      <rPr>
        <sz val="9"/>
        <color rgb="FF595959"/>
        <rFont val="WenQuanYi Zen Hei"/>
        <family val="2"/>
      </rPr>
      <t xml:space="preserve">간트 자동 반영 </t>
    </r>
    <r>
      <rPr>
        <sz val="9"/>
        <color rgb="FF595959"/>
        <rFont val="Arial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영업일 </t>
    </r>
    <r>
      <rPr>
        <sz val="9"/>
        <color rgb="FF595959"/>
        <rFont val="Arial"/>
        <family val="0"/>
        <charset val="1"/>
      </rPr>
      <t xml:space="preserve">D-day</t>
    </r>
    <r>
      <rPr>
        <sz val="9"/>
        <color rgb="FF595959"/>
        <rFont val="WenQuanYi Zen Hei"/>
        <family val="2"/>
      </rPr>
      <t xml:space="preserve">는 </t>
    </r>
    <r>
      <rPr>
        <sz val="9"/>
        <color rgb="FF595959"/>
        <rFont val="Arial"/>
        <family val="0"/>
        <charset val="1"/>
      </rPr>
      <t xml:space="preserve">"</t>
    </r>
    <r>
      <rPr>
        <sz val="9"/>
        <color rgb="FF595959"/>
        <rFont val="WenQuanYi Zen Hei"/>
        <family val="2"/>
      </rPr>
      <t xml:space="preserve">공휴일</t>
    </r>
    <r>
      <rPr>
        <sz val="9"/>
        <color rgb="FF595959"/>
        <rFont val="Arial"/>
        <family val="0"/>
        <charset val="1"/>
      </rPr>
      <t xml:space="preserve">" </t>
    </r>
    <r>
      <rPr>
        <sz val="9"/>
        <color rgb="FF595959"/>
        <rFont val="WenQuanYi Zen Hei"/>
        <family val="2"/>
      </rPr>
      <t xml:space="preserve">시트 반영</t>
    </r>
  </si>
  <si>
    <r>
      <rPr>
        <b val="true"/>
        <sz val="9"/>
        <rFont val="Arial"/>
        <family val="0"/>
        <charset val="1"/>
      </rPr>
      <t xml:space="preserve">2027 </t>
    </r>
    <r>
      <rPr>
        <b val="true"/>
        <sz val="9"/>
        <rFont val="WenQuanYi Zen Hei"/>
        <family val="2"/>
      </rPr>
      <t xml:space="preserve">주간 일정 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월요일 기준</t>
    </r>
    <r>
      <rPr>
        <b val="true"/>
        <sz val="9"/>
        <rFont val="Arial"/>
        <family val="0"/>
        <charset val="1"/>
      </rPr>
      <t xml:space="preserve">)</t>
    </r>
  </si>
  <si>
    <t xml:space="preserve">No</t>
  </si>
  <si>
    <t xml:space="preserve">단계</t>
  </si>
  <si>
    <r>
      <rPr>
        <b val="true"/>
        <sz val="10"/>
        <color rgb="FFFFFFFF"/>
        <rFont val="Arial"/>
        <family val="0"/>
        <charset val="1"/>
      </rPr>
      <t xml:space="preserve">2023 </t>
    </r>
    <r>
      <rPr>
        <b val="true"/>
        <sz val="10"/>
        <color rgb="FFFFFFFF"/>
        <rFont val="WenQuanYi Zen Hei"/>
        <family val="2"/>
      </rPr>
      <t xml:space="preserve">수행 내용</t>
    </r>
  </si>
  <si>
    <r>
      <rPr>
        <b val="true"/>
        <sz val="10"/>
        <color rgb="FFFFFFFF"/>
        <rFont val="Arial"/>
        <family val="0"/>
        <charset val="1"/>
      </rPr>
      <t xml:space="preserve">2023 </t>
    </r>
    <r>
      <rPr>
        <b val="true"/>
        <sz val="10"/>
        <color rgb="FFFFFFFF"/>
        <rFont val="WenQuanYi Zen Hei"/>
        <family val="2"/>
      </rPr>
      <t xml:space="preserve">일정</t>
    </r>
  </si>
  <si>
    <t xml:space="preserve">2023 D-Day</t>
  </si>
  <si>
    <r>
      <rPr>
        <b val="true"/>
        <sz val="10"/>
        <color rgb="FFFFFFFF"/>
        <rFont val="Arial"/>
        <family val="0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계획일</t>
    </r>
  </si>
  <si>
    <r>
      <rPr>
        <b val="true"/>
        <sz val="10"/>
        <color rgb="FFFFFFFF"/>
        <rFont val="Arial"/>
        <family val="0"/>
        <charset val="1"/>
      </rPr>
      <t xml:space="preserve">D-day
(</t>
    </r>
    <r>
      <rPr>
        <b val="true"/>
        <sz val="10"/>
        <color rgb="FFFFFFFF"/>
        <rFont val="WenQuanYi Zen Hei"/>
        <family val="2"/>
      </rPr>
      <t xml:space="preserve">달력일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</si>
  <si>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D-day
(</t>
    </r>
    <r>
      <rPr>
        <b val="true"/>
        <sz val="10"/>
        <color rgb="FFFFFFFF"/>
        <rFont val="WenQuanYi Zen Hei"/>
        <family val="2"/>
      </rPr>
      <t xml:space="preserve">영업일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</si>
  <si>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추진내용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</si>
  <si>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담당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협의부서</t>
    </r>
  </si>
  <si>
    <t xml:space="preserve">비고</t>
  </si>
  <si>
    <t xml:space="preserve">ITMS</t>
  </si>
  <si>
    <r>
      <rPr>
        <sz val="10"/>
        <color rgb="FF404040"/>
        <rFont val="Arial"/>
        <family val="0"/>
        <charset val="1"/>
      </rPr>
      <t xml:space="preserve">OTP </t>
    </r>
    <r>
      <rPr>
        <sz val="10"/>
        <color rgb="FF404040"/>
        <rFont val="WenQuanYi Zen Hei"/>
        <family val="2"/>
      </rPr>
      <t xml:space="preserve">발급 예상 수량 산정을 위해 폐기 예정 </t>
    </r>
    <r>
      <rPr>
        <sz val="10"/>
        <color rgb="FF404040"/>
        <rFont val="Arial"/>
        <family val="0"/>
        <charset val="1"/>
      </rPr>
      <t xml:space="preserve">OTP </t>
    </r>
    <r>
      <rPr>
        <sz val="10"/>
        <color rgb="FF404040"/>
        <rFont val="WenQuanYi Zen Hei"/>
        <family val="2"/>
      </rPr>
      <t xml:space="preserve">수량 확인</t>
    </r>
  </si>
  <si>
    <t xml:space="preserve">D-93</t>
  </si>
  <si>
    <r>
      <rPr>
        <sz val="10"/>
        <rFont val="Arial"/>
        <family val="0"/>
        <charset val="1"/>
      </rPr>
      <t xml:space="preserve">2027 </t>
    </r>
    <r>
      <rPr>
        <sz val="10"/>
        <rFont val="WenQuanYi Zen Hei"/>
        <family val="2"/>
      </rPr>
      <t xml:space="preserve">일정 미정</t>
    </r>
  </si>
  <si>
    <r>
      <rPr>
        <sz val="10"/>
        <color rgb="FF404040"/>
        <rFont val="Arial"/>
        <family val="0"/>
        <charset val="1"/>
      </rPr>
      <t xml:space="preserve">OTP </t>
    </r>
    <r>
      <rPr>
        <sz val="10"/>
        <color rgb="FF404040"/>
        <rFont val="WenQuanYi Zen Hei"/>
        <family val="2"/>
      </rPr>
      <t xml:space="preserve">구매 수량 산정을 위한 </t>
    </r>
    <r>
      <rPr>
        <sz val="10"/>
        <color rgb="FF404040"/>
        <rFont val="Arial"/>
        <family val="0"/>
        <charset val="1"/>
      </rPr>
      <t xml:space="preserve">OTP </t>
    </r>
    <r>
      <rPr>
        <sz val="10"/>
        <color rgb="FF404040"/>
        <rFont val="WenQuanYi Zen Hei"/>
        <family val="2"/>
      </rPr>
      <t xml:space="preserve">수량 확인</t>
    </r>
  </si>
  <si>
    <t xml:space="preserve">D-84</t>
  </si>
  <si>
    <r>
      <rPr>
        <sz val="10"/>
        <rFont val="WenQuanYi Zen Hei"/>
        <family val="2"/>
      </rPr>
      <t xml:space="preserve">구매 수량 산정을 위한 </t>
    </r>
    <r>
      <rPr>
        <sz val="10"/>
        <rFont val="Arial"/>
        <family val="0"/>
        <charset val="1"/>
      </rPr>
      <t xml:space="preserve">OTP </t>
    </r>
    <r>
      <rPr>
        <sz val="10"/>
        <rFont val="WenQuanYi Zen Hei"/>
        <family val="2"/>
      </rPr>
      <t xml:space="preserve">수량 작업의뢰</t>
    </r>
  </si>
  <si>
    <t xml:space="preserve">예산</t>
  </si>
  <si>
    <r>
      <rPr>
        <sz val="10"/>
        <color rgb="FF404040"/>
        <rFont val="WenQuanYi Zen Hei"/>
        <family val="2"/>
      </rPr>
      <t xml:space="preserve">예산추가배정 신청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WenQuanYi Zen Hei"/>
        <family val="2"/>
      </rPr>
      <t xml:space="preserve">전산업무비</t>
    </r>
    <r>
      <rPr>
        <sz val="10"/>
        <color rgb="FF404040"/>
        <rFont val="Arial"/>
        <family val="0"/>
        <charset val="1"/>
      </rPr>
      <t xml:space="preserve">)</t>
    </r>
  </si>
  <si>
    <t xml:space="preserve">별도</t>
  </si>
  <si>
    <r>
      <rPr>
        <sz val="10"/>
        <rFont val="Arial"/>
        <family val="0"/>
        <charset val="1"/>
      </rPr>
      <t xml:space="preserve">OTP </t>
    </r>
    <r>
      <rPr>
        <sz val="10"/>
        <rFont val="WenQuanYi Zen Hei"/>
        <family val="2"/>
      </rPr>
      <t xml:space="preserve">예산 별도 신청</t>
    </r>
  </si>
  <si>
    <r>
      <rPr>
        <sz val="10"/>
        <rFont val="WenQuanYi Zen Hei"/>
        <family val="2"/>
      </rPr>
      <t xml:space="preserve">원본 </t>
    </r>
    <r>
      <rPr>
        <sz val="10"/>
        <rFont val="Arial"/>
        <family val="0"/>
        <charset val="1"/>
      </rPr>
      <t xml:space="preserve">"2026</t>
    </r>
    <r>
      <rPr>
        <sz val="10"/>
        <rFont val="WenQuanYi Zen Hei"/>
        <family val="2"/>
      </rPr>
      <t xml:space="preserve">년 말</t>
    </r>
    <r>
      <rPr>
        <sz val="10"/>
        <rFont val="Arial"/>
        <family val="0"/>
        <charset val="1"/>
      </rPr>
      <t xml:space="preserve">" → 12.31</t>
    </r>
    <r>
      <rPr>
        <sz val="10"/>
        <rFont val="WenQuanYi Zen Hei"/>
        <family val="2"/>
      </rPr>
      <t xml:space="preserve">로 임시 입력</t>
    </r>
  </si>
  <si>
    <t xml:space="preserve">기획</t>
  </si>
  <si>
    <r>
      <rPr>
        <sz val="10"/>
        <color rgb="FF404040"/>
        <rFont val="WenQuanYi Zen Hei"/>
        <family val="2"/>
      </rPr>
      <t xml:space="preserve">일괄교체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WenQuanYi Zen Hei"/>
        <family val="2"/>
      </rPr>
      <t xml:space="preserve">안</t>
    </r>
    <r>
      <rPr>
        <sz val="10"/>
        <color rgb="FF404040"/>
        <rFont val="Arial"/>
        <family val="0"/>
        <charset val="1"/>
      </rPr>
      <t xml:space="preserve">) </t>
    </r>
    <r>
      <rPr>
        <sz val="10"/>
        <color rgb="FF404040"/>
        <rFont val="WenQuanYi Zen Hei"/>
        <family val="2"/>
      </rPr>
      <t xml:space="preserve">통보</t>
    </r>
  </si>
  <si>
    <t xml:space="preserve">D-63</t>
  </si>
  <si>
    <t xml:space="preserve">내부 기안</t>
  </si>
  <si>
    <t xml:space="preserve">구매</t>
  </si>
  <si>
    <t xml:space="preserve">구입안 통보</t>
  </si>
  <si>
    <t xml:space="preserve">D-62</t>
  </si>
  <si>
    <r>
      <rPr>
        <b val="true"/>
        <sz val="10"/>
        <color rgb="FFC00000"/>
        <rFont val="WenQuanYi Zen Hei"/>
        <family val="2"/>
      </rPr>
      <t xml:space="preserve">총무팀 입찰 기안 통보 </t>
    </r>
    <r>
      <rPr>
        <b val="true"/>
        <sz val="10"/>
        <color rgb="FFC00000"/>
        <rFont val="Arial"/>
        <family val="0"/>
        <charset val="1"/>
      </rPr>
      <t xml:space="preserve">(</t>
    </r>
    <r>
      <rPr>
        <b val="true"/>
        <sz val="10"/>
        <color rgb="FFC00000"/>
        <rFont val="WenQuanYi Zen Hei"/>
        <family val="2"/>
      </rPr>
      <t xml:space="preserve">계약 의뢰부터 체결까지 약 </t>
    </r>
    <r>
      <rPr>
        <b val="true"/>
        <sz val="10"/>
        <color rgb="FFC00000"/>
        <rFont val="Arial"/>
        <family val="0"/>
        <charset val="1"/>
      </rPr>
      <t xml:space="preserve">40</t>
    </r>
    <r>
      <rPr>
        <b val="true"/>
        <sz val="10"/>
        <color rgb="FFC00000"/>
        <rFont val="WenQuanYi Zen Hei"/>
        <family val="2"/>
      </rPr>
      <t xml:space="preserve">일</t>
    </r>
    <r>
      <rPr>
        <b val="true"/>
        <sz val="10"/>
        <color rgb="FFC00000"/>
        <rFont val="Arial"/>
        <family val="0"/>
        <charset val="1"/>
      </rPr>
      <t xml:space="preserve">)</t>
    </r>
  </si>
  <si>
    <t xml:space="preserve">총무팀</t>
  </si>
  <si>
    <t xml:space="preserve">교육</t>
  </si>
  <si>
    <r>
      <rPr>
        <sz val="10"/>
        <color rgb="FF404040"/>
        <rFont val="WenQuanYi Zen Hei"/>
        <family val="2"/>
      </rPr>
      <t xml:space="preserve">컨택센터 교육실시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WenQuanYi Zen Hei"/>
        <family val="2"/>
      </rPr>
      <t xml:space="preserve">안</t>
    </r>
    <r>
      <rPr>
        <sz val="10"/>
        <color rgb="FF404040"/>
        <rFont val="Arial"/>
        <family val="0"/>
        <charset val="1"/>
      </rPr>
      <t xml:space="preserve">), </t>
    </r>
    <r>
      <rPr>
        <sz val="10"/>
        <color rgb="FF404040"/>
        <rFont val="WenQuanYi Zen Hei"/>
        <family val="2"/>
      </rPr>
      <t xml:space="preserve">업무처리방법 통보</t>
    </r>
  </si>
  <si>
    <t xml:space="preserve">D-37</t>
  </si>
  <si>
    <t xml:space="preserve">컨택센터 교육 실시</t>
  </si>
  <si>
    <t xml:space="preserve">D-29</t>
  </si>
  <si>
    <t xml:space="preserve">서울 컨택센터 교육</t>
  </si>
  <si>
    <r>
      <rPr>
        <sz val="10"/>
        <color rgb="FF404040"/>
        <rFont val="WenQuanYi Zen Hei"/>
        <family val="2"/>
      </rPr>
      <t xml:space="preserve">부산업무센터 교육실시</t>
    </r>
    <r>
      <rPr>
        <sz val="10"/>
        <color rgb="FF404040"/>
        <rFont val="Arial"/>
        <family val="0"/>
        <charset val="1"/>
      </rPr>
      <t xml:space="preserve">(</t>
    </r>
    <r>
      <rPr>
        <sz val="10"/>
        <color rgb="FF404040"/>
        <rFont val="WenQuanYi Zen Hei"/>
        <family val="2"/>
      </rPr>
      <t xml:space="preserve">안</t>
    </r>
    <r>
      <rPr>
        <sz val="10"/>
        <color rgb="FF404040"/>
        <rFont val="Arial"/>
        <family val="0"/>
        <charset val="1"/>
      </rPr>
      <t xml:space="preserve">) </t>
    </r>
    <r>
      <rPr>
        <sz val="10"/>
        <color rgb="FF404040"/>
        <rFont val="WenQuanYi Zen Hei"/>
        <family val="2"/>
      </rPr>
      <t xml:space="preserve">통보</t>
    </r>
  </si>
  <si>
    <t xml:space="preserve">컨택센터 교육 결과보고</t>
  </si>
  <si>
    <t xml:space="preserve">D-27</t>
  </si>
  <si>
    <t xml:space="preserve">계약</t>
  </si>
  <si>
    <t xml:space="preserve">계약서 체결</t>
  </si>
  <si>
    <t xml:space="preserve">D-26</t>
  </si>
  <si>
    <t xml:space="preserve">공지</t>
  </si>
  <si>
    <t xml:space="preserve">세이프 공지</t>
  </si>
  <si>
    <t xml:space="preserve">D-23</t>
  </si>
  <si>
    <r>
      <rPr>
        <sz val="10"/>
        <color rgb="FF404040"/>
        <rFont val="Arial"/>
        <family val="0"/>
        <charset val="1"/>
      </rPr>
      <t xml:space="preserve">OTP </t>
    </r>
    <r>
      <rPr>
        <sz val="10"/>
        <color rgb="FF404040"/>
        <rFont val="WenQuanYi Zen Hei"/>
        <family val="2"/>
      </rPr>
      <t xml:space="preserve">소지자 메일 주소 추출 요청</t>
    </r>
  </si>
  <si>
    <t xml:space="preserve">메일 안내 주소 추출</t>
  </si>
  <si>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년 실제 송부 여부 확인 불가</t>
    </r>
  </si>
  <si>
    <t xml:space="preserve">부산업무센터 교육 실시</t>
  </si>
  <si>
    <t xml:space="preserve">D-22</t>
  </si>
  <si>
    <t xml:space="preserve">부산고객센터 교육</t>
  </si>
  <si>
    <t xml:space="preserve">계약서 통보</t>
  </si>
  <si>
    <t xml:space="preserve">D-16</t>
  </si>
  <si>
    <r>
      <rPr>
        <sz val="10"/>
        <rFont val="WenQuanYi Zen Hei"/>
        <family val="2"/>
      </rPr>
      <t xml:space="preserve">입찰 기안</t>
    </r>
    <r>
      <rPr>
        <sz val="10"/>
        <rFont val="Arial"/>
        <family val="0"/>
        <charset val="1"/>
      </rPr>
      <t xml:space="preserve">(2.23)</t>
    </r>
    <r>
      <rPr>
        <sz val="10"/>
        <rFont val="WenQuanYi Zen Hei"/>
        <family val="2"/>
      </rPr>
      <t xml:space="preserve">부터 </t>
    </r>
    <r>
      <rPr>
        <sz val="10"/>
        <rFont val="Arial"/>
        <family val="0"/>
        <charset val="1"/>
      </rPr>
      <t xml:space="preserve">46</t>
    </r>
    <r>
      <rPr>
        <sz val="10"/>
        <rFont val="WenQuanYi Zen Hei"/>
        <family val="2"/>
      </rPr>
      <t xml:space="preserve">일 해당</t>
    </r>
  </si>
  <si>
    <t xml:space="preserve">부산업무센터 교육 결과보고</t>
  </si>
  <si>
    <t xml:space="preserve">D-13</t>
  </si>
  <si>
    <t xml:space="preserve">시스템</t>
  </si>
  <si>
    <r>
      <rPr>
        <sz val="10"/>
        <color rgb="FF404040"/>
        <rFont val="Arial"/>
        <family val="0"/>
        <charset val="1"/>
      </rPr>
      <t xml:space="preserve">OTP</t>
    </r>
    <r>
      <rPr>
        <sz val="10"/>
        <color rgb="FF404040"/>
        <rFont val="WenQuanYi Zen Hei"/>
        <family val="2"/>
      </rPr>
      <t xml:space="preserve">정보생성 및 테스트</t>
    </r>
  </si>
  <si>
    <t xml:space="preserve">D-7</t>
  </si>
  <si>
    <r>
      <rPr>
        <sz val="10"/>
        <rFont val="Arial"/>
        <family val="0"/>
        <charset val="1"/>
      </rPr>
      <t xml:space="preserve">OTP</t>
    </r>
    <r>
      <rPr>
        <sz val="10"/>
        <rFont val="WenQuanYi Zen Hei"/>
        <family val="2"/>
      </rPr>
      <t xml:space="preserve">정보생성 및 테스트</t>
    </r>
  </si>
  <si>
    <r>
      <rPr>
        <sz val="10"/>
        <rFont val="Arial"/>
        <family val="0"/>
        <charset val="1"/>
      </rPr>
      <t xml:space="preserve">IT</t>
    </r>
    <r>
      <rPr>
        <sz val="10"/>
        <rFont val="WenQuanYi Zen Hei"/>
        <family val="2"/>
      </rPr>
      <t xml:space="preserve">표준화팀</t>
    </r>
  </si>
  <si>
    <t xml:space="preserve">시행</t>
  </si>
  <si>
    <r>
      <rPr>
        <sz val="10"/>
        <color rgb="FF404040"/>
        <rFont val="Arial"/>
        <family val="0"/>
        <charset val="1"/>
      </rPr>
      <t xml:space="preserve">OTP </t>
    </r>
    <r>
      <rPr>
        <sz val="10"/>
        <color rgb="FF404040"/>
        <rFont val="WenQuanYi Zen Hei"/>
        <family val="2"/>
      </rPr>
      <t xml:space="preserve">교체 시작 </t>
    </r>
    <r>
      <rPr>
        <sz val="10"/>
        <color rgb="FF404040"/>
        <rFont val="Arial"/>
        <family val="0"/>
        <charset val="1"/>
      </rPr>
      <t xml:space="preserve">(45</t>
    </r>
    <r>
      <rPr>
        <sz val="10"/>
        <color rgb="FF404040"/>
        <rFont val="WenQuanYi Zen Hei"/>
        <family val="2"/>
      </rPr>
      <t xml:space="preserve">영업일 실시</t>
    </r>
    <r>
      <rPr>
        <sz val="10"/>
        <color rgb="FF404040"/>
        <rFont val="Arial"/>
        <family val="0"/>
        <charset val="1"/>
      </rPr>
      <t xml:space="preserve">)</t>
    </r>
  </si>
  <si>
    <t xml:space="preserve">D-Day</t>
  </si>
  <si>
    <r>
      <rPr>
        <b val="true"/>
        <sz val="10"/>
        <color rgb="FFC00000"/>
        <rFont val="Arial"/>
        <family val="0"/>
        <charset val="1"/>
      </rPr>
      <t xml:space="preserve">OTP </t>
    </r>
    <r>
      <rPr>
        <b val="true"/>
        <sz val="10"/>
        <color rgb="FFC00000"/>
        <rFont val="WenQuanYi Zen Hei"/>
        <family val="2"/>
      </rPr>
      <t xml:space="preserve">교체 시작 </t>
    </r>
    <r>
      <rPr>
        <b val="true"/>
        <sz val="10"/>
        <color rgb="FFC00000"/>
        <rFont val="Arial"/>
        <family val="0"/>
        <charset val="1"/>
      </rPr>
      <t xml:space="preserve">(45</t>
    </r>
    <r>
      <rPr>
        <b val="true"/>
        <sz val="10"/>
        <color rgb="FFC00000"/>
        <rFont val="WenQuanYi Zen Hei"/>
        <family val="2"/>
      </rPr>
      <t xml:space="preserve">영업일 실시</t>
    </r>
    <r>
      <rPr>
        <b val="true"/>
        <sz val="10"/>
        <color rgb="FFC00000"/>
        <rFont val="Arial"/>
        <family val="0"/>
        <charset val="1"/>
      </rPr>
      <t xml:space="preserve">)</t>
    </r>
  </si>
  <si>
    <r>
      <rPr>
        <sz val="10"/>
        <color rgb="FF404040"/>
        <rFont val="WenQuanYi Zen Hei"/>
        <family val="2"/>
      </rPr>
      <t xml:space="preserve">일괄교체를 수행하지 않은 </t>
    </r>
    <r>
      <rPr>
        <sz val="10"/>
        <color rgb="FF404040"/>
        <rFont val="Arial"/>
        <family val="0"/>
        <charset val="1"/>
      </rPr>
      <t xml:space="preserve">OTP </t>
    </r>
    <r>
      <rPr>
        <sz val="10"/>
        <color rgb="FF404040"/>
        <rFont val="WenQuanYi Zen Hei"/>
        <family val="2"/>
      </rPr>
      <t xml:space="preserve">소지자 명단 추출</t>
    </r>
  </si>
  <si>
    <t xml:space="preserve">D+36</t>
  </si>
  <si>
    <r>
      <rPr>
        <sz val="10"/>
        <color rgb="FF404040"/>
        <rFont val="Arial"/>
        <family val="0"/>
        <charset val="1"/>
      </rPr>
      <t xml:space="preserve">OTP </t>
    </r>
    <r>
      <rPr>
        <sz val="10"/>
        <color rgb="FF404040"/>
        <rFont val="WenQuanYi Zen Hei"/>
        <family val="2"/>
      </rPr>
      <t xml:space="preserve">교체 마감</t>
    </r>
  </si>
  <si>
    <t xml:space="preserve">D+63</t>
  </si>
  <si>
    <r>
      <rPr>
        <b val="true"/>
        <sz val="10"/>
        <color rgb="FFC00000"/>
        <rFont val="Arial"/>
        <family val="0"/>
        <charset val="1"/>
      </rPr>
      <t xml:space="preserve">OTP </t>
    </r>
    <r>
      <rPr>
        <b val="true"/>
        <sz val="10"/>
        <color rgb="FFC00000"/>
        <rFont val="WenQuanYi Zen Hei"/>
        <family val="2"/>
      </rPr>
      <t xml:space="preserve">교체 마감</t>
    </r>
  </si>
  <si>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영업일 검증 → 아래 체크 참조</t>
    </r>
  </si>
  <si>
    <r>
      <rPr>
        <sz val="10"/>
        <color rgb="FF404040"/>
        <rFont val="WenQuanYi Zen Hei"/>
        <family val="2"/>
      </rPr>
      <t xml:space="preserve">실물 및 가상 </t>
    </r>
    <r>
      <rPr>
        <sz val="10"/>
        <color rgb="FF404040"/>
        <rFont val="Arial"/>
        <family val="0"/>
        <charset val="1"/>
      </rPr>
      <t xml:space="preserve">OTP </t>
    </r>
    <r>
      <rPr>
        <sz val="10"/>
        <color rgb="FF404040"/>
        <rFont val="WenQuanYi Zen Hei"/>
        <family val="2"/>
      </rPr>
      <t xml:space="preserve">일괄 폐기 요청</t>
    </r>
  </si>
  <si>
    <t xml:space="preserve">D+70</t>
  </si>
  <si>
    <r>
      <rPr>
        <sz val="10"/>
        <rFont val="WenQuanYi Zen Hei"/>
        <family val="2"/>
      </rPr>
      <t xml:space="preserve">남은 만료 </t>
    </r>
    <r>
      <rPr>
        <sz val="10"/>
        <rFont val="Arial"/>
        <family val="0"/>
        <charset val="1"/>
      </rPr>
      <t xml:space="preserve">OTP </t>
    </r>
    <r>
      <rPr>
        <sz val="10"/>
        <rFont val="WenQuanYi Zen Hei"/>
        <family val="2"/>
      </rPr>
      <t xml:space="preserve">폐기 요청</t>
    </r>
  </si>
  <si>
    <t xml:space="preserve">교체기간 검증</t>
  </si>
  <si>
    <r>
      <rPr>
        <sz val="10"/>
        <rFont val="Arial"/>
        <family val="0"/>
        <charset val="1"/>
      </rPr>
      <t xml:space="preserve">OTP </t>
    </r>
    <r>
      <rPr>
        <sz val="10"/>
        <rFont val="WenQuanYi Zen Hei"/>
        <family val="2"/>
      </rPr>
      <t xml:space="preserve">교체 시작</t>
    </r>
    <r>
      <rPr>
        <sz val="10"/>
        <rFont val="Arial"/>
        <family val="0"/>
        <charset val="1"/>
      </rPr>
      <t xml:space="preserve">~</t>
    </r>
    <r>
      <rPr>
        <sz val="10"/>
        <rFont val="WenQuanYi Zen Hei"/>
        <family val="2"/>
      </rPr>
      <t xml:space="preserve">마감 영업일 수</t>
    </r>
  </si>
  <si>
    <r>
      <rPr>
        <sz val="10"/>
        <rFont val="Arial"/>
        <family val="0"/>
        <charset val="1"/>
      </rPr>
      <t xml:space="preserve">45</t>
    </r>
    <r>
      <rPr>
        <sz val="10"/>
        <rFont val="WenQuanYi Zen Hei"/>
        <family val="2"/>
      </rPr>
      <t xml:space="preserve">영업일째 날짜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공휴일 반영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</si>
  <si>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참고</t>
    </r>
    <r>
      <rPr>
        <sz val="10"/>
        <rFont val="Arial"/>
        <family val="0"/>
        <charset val="1"/>
      </rPr>
      <t xml:space="preserve">) 2023</t>
    </r>
    <r>
      <rPr>
        <sz val="10"/>
        <rFont val="WenQuanYi Zen Hei"/>
        <family val="2"/>
      </rPr>
      <t xml:space="preserve">년 교체기간 영업일</t>
    </r>
  </si>
  <si>
    <r>
      <rPr>
        <sz val="10"/>
        <color rgb="FFC00000"/>
        <rFont val="Arial"/>
        <family val="0"/>
        <charset val="1"/>
      </rPr>
      <t xml:space="preserve">2023.7.26~9.27 (8.15, 9.28~29 </t>
    </r>
    <r>
      <rPr>
        <sz val="10"/>
        <color rgb="FFC00000"/>
        <rFont val="WenQuanYi Zen Hei"/>
        <family val="2"/>
      </rPr>
      <t xml:space="preserve">제외</t>
    </r>
    <r>
      <rPr>
        <sz val="10"/>
        <color rgb="FFC00000"/>
        <rFont val="Arial"/>
        <family val="0"/>
        <charset val="1"/>
      </rPr>
      <t xml:space="preserve">)</t>
    </r>
  </si>
  <si>
    <t xml:space="preserve">고려사항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</si>
  <si>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인턴 채용기간 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월 발령 목표</t>
    </r>
    <r>
      <rPr>
        <sz val="10"/>
        <rFont val="Arial"/>
        <family val="0"/>
        <charset val="1"/>
      </rPr>
      <t xml:space="preserve">, 6</t>
    </r>
    <r>
      <rPr>
        <sz val="10"/>
        <rFont val="WenQuanYi Zen Hei"/>
        <family val="2"/>
      </rPr>
      <t xml:space="preserve">개월 → </t>
    </r>
    <r>
      <rPr>
        <sz val="10"/>
        <rFont val="Arial"/>
        <family val="0"/>
        <charset val="1"/>
      </rPr>
      <t xml:space="preserve">1~7</t>
    </r>
    <r>
      <rPr>
        <sz val="10"/>
        <rFont val="WenQuanYi Zen Hei"/>
        <family val="2"/>
      </rPr>
      <t xml:space="preserve">월 예상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</si>
  <si>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총무부 입찰 공고 일정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총무부 교육자료</t>
    </r>
    <r>
      <rPr>
        <sz val="10"/>
        <rFont val="Arial"/>
        <family val="0"/>
        <charset val="1"/>
      </rPr>
      <t xml:space="preserve">: 2</t>
    </r>
    <r>
      <rPr>
        <sz val="10"/>
        <rFont val="WenQuanYi Zen Hei"/>
        <family val="2"/>
      </rPr>
      <t xml:space="preserve">천만원 이상은 </t>
    </r>
    <r>
      <rPr>
        <sz val="10"/>
        <rFont val="Arial"/>
        <family val="0"/>
        <charset val="1"/>
      </rPr>
      <t xml:space="preserve">8~12</t>
    </r>
    <r>
      <rPr>
        <sz val="10"/>
        <rFont val="WenQuanYi Zen Hei"/>
        <family val="2"/>
      </rPr>
      <t xml:space="preserve">주 前 계약의뢰 권고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일반 입찰 공고 </t>
    </r>
    <r>
      <rPr>
        <sz val="10"/>
        <rFont val="Arial"/>
        <family val="0"/>
        <charset val="1"/>
      </rPr>
      <t xml:space="preserve">40</t>
    </r>
    <r>
      <rPr>
        <sz val="10"/>
        <rFont val="WenQuanYi Zen Hei"/>
        <family val="2"/>
      </rPr>
      <t xml:space="preserve">일 이상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긴급입찰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</si>
  <si>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※ 간트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파란색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해당 주 일정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빨간색 </t>
    </r>
    <r>
      <rPr>
        <sz val="9"/>
        <color rgb="FF595959"/>
        <rFont val="Arial"/>
        <family val="0"/>
        <charset val="1"/>
      </rPr>
      <t xml:space="preserve">= </t>
    </r>
    <r>
      <rPr>
        <sz val="9"/>
        <color rgb="FF595959"/>
        <rFont val="WenQuanYi Zen Hei"/>
        <family val="2"/>
      </rPr>
      <t xml:space="preserve">시행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교체 시작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WenQuanYi Zen Hei"/>
        <family val="2"/>
      </rPr>
      <t xml:space="preserve">마감</t>
    </r>
    <r>
      <rPr>
        <sz val="9"/>
        <color rgb="FF595959"/>
        <rFont val="Arial"/>
        <family val="0"/>
        <charset val="1"/>
      </rPr>
      <t xml:space="preserve">), </t>
    </r>
    <r>
      <rPr>
        <sz val="9"/>
        <color rgb="FF595959"/>
        <rFont val="WenQuanYi Zen Hei"/>
        <family val="2"/>
      </rPr>
      <t xml:space="preserve">연주황 열 </t>
    </r>
    <r>
      <rPr>
        <sz val="9"/>
        <color rgb="FF595959"/>
        <rFont val="Arial"/>
        <family val="0"/>
        <charset val="1"/>
      </rPr>
      <t xml:space="preserve">= OTP </t>
    </r>
    <r>
      <rPr>
        <sz val="9"/>
        <color rgb="FF595959"/>
        <rFont val="WenQuanYi Zen Hei"/>
        <family val="2"/>
      </rPr>
      <t xml:space="preserve">교체기간</t>
    </r>
  </si>
  <si>
    <r>
      <rPr>
        <b val="true"/>
        <sz val="11"/>
        <rFont val="WenQuanYi Zen Hei"/>
        <family val="2"/>
      </rPr>
      <t xml:space="preserve">공휴일 목록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영업일 계산용</t>
    </r>
    <r>
      <rPr>
        <b val="true"/>
        <sz val="11"/>
        <rFont val="Arial"/>
        <family val="0"/>
        <charset val="1"/>
      </rPr>
      <t xml:space="preserve">) — </t>
    </r>
    <r>
      <rPr>
        <b val="true"/>
        <sz val="11"/>
        <rFont val="WenQuanYi Zen Hei"/>
        <family val="2"/>
      </rPr>
      <t xml:space="preserve">확정 공휴일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WenQuanYi Zen Hei"/>
        <family val="2"/>
      </rPr>
      <t xml:space="preserve">대체공휴일은 사내 휴무일 기준으로 확인 후 수정</t>
    </r>
  </si>
  <si>
    <r>
      <rPr>
        <b val="true"/>
        <sz val="10"/>
        <color rgb="FFFFFFFF"/>
        <rFont val="Arial"/>
        <family val="0"/>
        <charset val="1"/>
      </rPr>
      <t xml:space="preserve">2027 </t>
    </r>
    <r>
      <rPr>
        <b val="true"/>
        <sz val="10"/>
        <color rgb="FFFFFFFF"/>
        <rFont val="WenQuanYi Zen Hei"/>
        <family val="2"/>
      </rPr>
      <t xml:space="preserve">날짜</t>
    </r>
  </si>
  <si>
    <t xml:space="preserve">명칭</t>
  </si>
  <si>
    <r>
      <rPr>
        <b val="true"/>
        <sz val="10"/>
        <color rgb="FFFFFFFF"/>
        <rFont val="Arial"/>
        <family val="0"/>
        <charset val="1"/>
      </rPr>
      <t xml:space="preserve">2023 </t>
    </r>
    <r>
      <rPr>
        <b val="true"/>
        <sz val="10"/>
        <color rgb="FFFFFFFF"/>
        <rFont val="WenQuanYi Zen Hei"/>
        <family val="2"/>
      </rPr>
      <t xml:space="preserve">날짜</t>
    </r>
  </si>
  <si>
    <t xml:space="preserve">신정</t>
  </si>
  <si>
    <t xml:space="preserve">광복절</t>
  </si>
  <si>
    <t xml:space="preserve">설날 연휴</t>
  </si>
  <si>
    <t xml:space="preserve">추석 연휴</t>
  </si>
  <si>
    <t xml:space="preserve">설날 대체공휴일</t>
  </si>
  <si>
    <t xml:space="preserve">추석</t>
  </si>
  <si>
    <t xml:space="preserve">삼일절</t>
  </si>
  <si>
    <r>
      <rPr>
        <sz val="10"/>
        <rFont val="WenQuanYi Zen Hei"/>
        <family val="2"/>
      </rPr>
      <t xml:space="preserve">근로자의 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사내 휴무 여부 확인</t>
    </r>
    <r>
      <rPr>
        <sz val="10"/>
        <rFont val="Arial"/>
        <family val="0"/>
        <charset val="1"/>
      </rPr>
      <t xml:space="preserve">)</t>
    </r>
  </si>
  <si>
    <t xml:space="preserve">어린이날</t>
  </si>
  <si>
    <r>
      <rPr>
        <sz val="10"/>
        <rFont val="WenQuanYi Zen Hei"/>
        <family val="2"/>
      </rPr>
      <t xml:space="preserve">부처님오신날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날짜 확인</t>
    </r>
    <r>
      <rPr>
        <sz val="10"/>
        <rFont val="Arial"/>
        <family val="0"/>
        <charset val="1"/>
      </rPr>
      <t xml:space="preserve">)</t>
    </r>
  </si>
  <si>
    <t xml:space="preserve">광복절 대체공휴일</t>
  </si>
  <si>
    <t xml:space="preserve">개천절 대체공휴일</t>
  </si>
  <si>
    <t xml:space="preserve">한글날 대체공휴일</t>
  </si>
  <si>
    <t xml:space="preserve">성탄절 대체공휴일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</si>
</sst>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m/d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9"/>
      <color rgb="FF595959"/>
      <name val="Arial"/>
      <family val="0"/>
      <charset val="1"/>
    </font>
    <font>
      <sz val="9"/>
      <color rgb="FF595959"/>
      <name val="WenQuanYi Zen Hei"/>
      <family val="2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1"/>
      <color rgb="FFC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8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404040"/>
      <name val="WenQuanYi Zen Hei"/>
      <family val="2"/>
    </font>
    <font>
      <sz val="10"/>
      <color rgb="FF808080"/>
      <name val="Arial"/>
      <family val="0"/>
      <charset val="1"/>
    </font>
    <font>
      <sz val="10"/>
      <name val="WenQuanYi Zen Hei"/>
      <family val="2"/>
    </font>
    <font>
      <sz val="10"/>
      <color rgb="FF808080"/>
      <name val="WenQuanYi Zen Hei"/>
      <family val="2"/>
    </font>
    <font>
      <b val="true"/>
      <sz val="10"/>
      <color rgb="FFC00000"/>
      <name val="Arial"/>
      <family val="0"/>
      <charset val="1"/>
    </font>
    <font>
      <b val="true"/>
      <sz val="10"/>
      <color rgb="FFC00000"/>
      <name val="WenQuanYi Zen Hei"/>
      <family val="2"/>
    </font>
    <font>
      <b val="true"/>
      <sz val="11"/>
      <name val="WenQuanYi Zen Hei"/>
      <family val="2"/>
    </font>
    <font>
      <sz val="10"/>
      <color rgb="FFC00000"/>
      <name val="Arial"/>
      <family val="0"/>
      <charset val="1"/>
    </font>
    <font>
      <sz val="10"/>
      <color rgb="FFC00000"/>
      <name val="WenQuanYi Zen Hei"/>
      <family val="2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FCE4D6"/>
      </patternFill>
    </fill>
    <fill>
      <patternFill patternType="solid">
        <fgColor rgb="FFF8CBAD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00000"/>
        </patternFill>
      </fill>
    </dxf>
    <dxf>
      <fill>
        <patternFill>
          <bgColor rgb="FF2E75B6"/>
        </patternFill>
      </fill>
    </dxf>
    <dxf>
      <fill>
        <patternFill>
          <bgColor rgb="FFFCE4D6"/>
        </patternFill>
      </fill>
    </dxf>
    <dxf>
      <font>
        <b val="1"/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8" min="7" style="0" width="9"/>
    <col collapsed="false" customWidth="true" hidden="false" outlineLevel="0" max="9" min="9" style="0" width="40"/>
    <col collapsed="false" customWidth="true" hidden="false" outlineLevel="0" max="10" min="10" style="0" width="12"/>
    <col collapsed="false" customWidth="true" hidden="false" outlineLevel="0" max="11" min="11" style="0" width="26"/>
    <col collapsed="false" customWidth="true" hidden="false" outlineLevel="0" max="39" min="12" style="0" width="3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D3" s="4" t="n">
        <v>46503</v>
      </c>
      <c r="E3" s="5" t="s">
        <v>3</v>
      </c>
    </row>
    <row r="4" customFormat="false" ht="15" hidden="false" customHeight="false" outlineLevel="0" collapsed="false">
      <c r="L4" s="6" t="s">
        <v>4</v>
      </c>
    </row>
    <row r="5" customFormat="false" ht="42" hidden="false" customHeight="true" outlineLevel="0" collapsed="false">
      <c r="A5" s="7" t="s">
        <v>5</v>
      </c>
      <c r="B5" s="8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8" t="s">
        <v>14</v>
      </c>
      <c r="K5" s="8" t="s">
        <v>15</v>
      </c>
      <c r="L5" s="9" t="n">
        <v>46384</v>
      </c>
      <c r="M5" s="9" t="n">
        <v>46391</v>
      </c>
      <c r="N5" s="9" t="n">
        <v>46398</v>
      </c>
      <c r="O5" s="9" t="n">
        <v>46405</v>
      </c>
      <c r="P5" s="9" t="n">
        <v>46412</v>
      </c>
      <c r="Q5" s="9" t="n">
        <v>46419</v>
      </c>
      <c r="R5" s="9" t="n">
        <v>46426</v>
      </c>
      <c r="S5" s="9" t="n">
        <v>46433</v>
      </c>
      <c r="T5" s="9" t="n">
        <v>46440</v>
      </c>
      <c r="U5" s="9" t="n">
        <v>46447</v>
      </c>
      <c r="V5" s="9" t="n">
        <v>46454</v>
      </c>
      <c r="W5" s="9" t="n">
        <v>46461</v>
      </c>
      <c r="X5" s="9" t="n">
        <v>46468</v>
      </c>
      <c r="Y5" s="9" t="n">
        <v>46475</v>
      </c>
      <c r="Z5" s="9" t="n">
        <v>46482</v>
      </c>
      <c r="AA5" s="9" t="n">
        <v>46489</v>
      </c>
      <c r="AB5" s="9" t="n">
        <v>46496</v>
      </c>
      <c r="AC5" s="9" t="n">
        <v>46503</v>
      </c>
      <c r="AD5" s="9" t="n">
        <v>46510</v>
      </c>
      <c r="AE5" s="9" t="n">
        <v>46517</v>
      </c>
      <c r="AF5" s="9" t="n">
        <v>46524</v>
      </c>
      <c r="AG5" s="9" t="n">
        <v>46531</v>
      </c>
      <c r="AH5" s="9" t="n">
        <v>46538</v>
      </c>
      <c r="AI5" s="9" t="n">
        <v>46545</v>
      </c>
      <c r="AJ5" s="9" t="n">
        <v>46552</v>
      </c>
      <c r="AK5" s="9" t="n">
        <v>46559</v>
      </c>
      <c r="AL5" s="9" t="n">
        <v>46566</v>
      </c>
      <c r="AM5" s="9" t="n">
        <v>46573</v>
      </c>
    </row>
    <row r="6" customFormat="false" ht="30" hidden="false" customHeight="true" outlineLevel="0" collapsed="false">
      <c r="A6" s="10" t="n">
        <v>1</v>
      </c>
      <c r="B6" s="11" t="s">
        <v>16</v>
      </c>
      <c r="C6" s="12" t="s">
        <v>17</v>
      </c>
      <c r="D6" s="13" t="n">
        <v>45040</v>
      </c>
      <c r="E6" s="14" t="s">
        <v>18</v>
      </c>
      <c r="F6" s="15"/>
      <c r="G6" s="10" t="str">
        <f aca="false">IF(F6="","",IF($D$3-F6&gt;0,"D-"&amp;($D$3-F6),IF($D$3=F6,"D-Day","D+"&amp;(F6-$D$3))))</f>
        <v/>
      </c>
      <c r="H6" s="10" t="str">
        <f aca="false">IF(F6="","",IF(F6&lt;$D$3,"D-"&amp;(NETWORKDAYS(F6,$D$3,공휴일!$A$4:$A$30)-1),IF(F6=$D$3,"D-Day","D+"&amp;(NETWORKDAYS($D$3,F6,공휴일!$A$4:$A$30)-1))))</f>
        <v/>
      </c>
      <c r="I6" s="16"/>
      <c r="J6" s="17"/>
      <c r="K6" s="17" t="s">
        <v>19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</row>
    <row r="7" customFormat="false" ht="30" hidden="false" customHeight="true" outlineLevel="0" collapsed="false">
      <c r="A7" s="10" t="n">
        <v>2</v>
      </c>
      <c r="B7" s="11" t="s">
        <v>16</v>
      </c>
      <c r="C7" s="12" t="s">
        <v>20</v>
      </c>
      <c r="D7" s="13" t="n">
        <v>45049</v>
      </c>
      <c r="E7" s="14" t="s">
        <v>21</v>
      </c>
      <c r="F7" s="15" t="n">
        <v>46419</v>
      </c>
      <c r="G7" s="10" t="str">
        <f aca="false">IF(F7="","",IF($D$3-F7&gt;0,"D-"&amp;($D$3-F7),IF($D$3=F7,"D-Day","D+"&amp;(F7-$D$3))))</f>
        <v>D-84</v>
      </c>
      <c r="H7" s="10" t="str">
        <f aca="false">IF(F7="","",IF(F7&lt;$D$3,"D-"&amp;(NETWORKDAYS(F7,$D$3,공휴일!$A$4:$A$30)-1),IF(F7=$D$3,"D-Day","D+"&amp;(NETWORKDAYS($D$3,F7,공휴일!$A$4:$A$30)-1))))</f>
        <v>D-57</v>
      </c>
      <c r="I7" s="19" t="s">
        <v>22</v>
      </c>
      <c r="J7" s="17"/>
      <c r="K7" s="17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</row>
    <row r="8" customFormat="false" ht="30" hidden="false" customHeight="true" outlineLevel="0" collapsed="false">
      <c r="A8" s="10" t="n">
        <v>3</v>
      </c>
      <c r="B8" s="20" t="s">
        <v>23</v>
      </c>
      <c r="C8" s="21" t="s">
        <v>24</v>
      </c>
      <c r="D8" s="13" t="n">
        <v>45065</v>
      </c>
      <c r="E8" s="22" t="s">
        <v>25</v>
      </c>
      <c r="F8" s="15" t="n">
        <v>46387</v>
      </c>
      <c r="G8" s="10" t="str">
        <f aca="false">IF(F8="","",IF($D$3-F8&gt;0,"D-"&amp;($D$3-F8),IF($D$3=F8,"D-Day","D+"&amp;(F8-$D$3))))</f>
        <v>D-116</v>
      </c>
      <c r="H8" s="10" t="str">
        <f aca="false">IF(F8="","",IF(F8&lt;$D$3,"D-"&amp;(NETWORKDAYS(F8,$D$3,공휴일!$A$4:$A$30)-1),IF(F8=$D$3,"D-Day","D+"&amp;(NETWORKDAYS($D$3,F8,공휴일!$A$4:$A$30)-1))))</f>
        <v>D-78</v>
      </c>
      <c r="I8" s="23" t="s">
        <v>26</v>
      </c>
      <c r="J8" s="17"/>
      <c r="K8" s="24" t="s">
        <v>27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</row>
    <row r="9" customFormat="false" ht="30" hidden="false" customHeight="true" outlineLevel="0" collapsed="false">
      <c r="A9" s="10" t="n">
        <v>4</v>
      </c>
      <c r="B9" s="20" t="s">
        <v>28</v>
      </c>
      <c r="C9" s="21" t="s">
        <v>29</v>
      </c>
      <c r="D9" s="13" t="n">
        <v>45070</v>
      </c>
      <c r="E9" s="14" t="s">
        <v>30</v>
      </c>
      <c r="F9" s="15" t="n">
        <v>46440</v>
      </c>
      <c r="G9" s="10" t="str">
        <f aca="false">IF(F9="","",IF($D$3-F9&gt;0,"D-"&amp;($D$3-F9),IF($D$3=F9,"D-Day","D+"&amp;(F9-$D$3))))</f>
        <v>D-63</v>
      </c>
      <c r="H9" s="10" t="str">
        <f aca="false">IF(F9="","",IF(F9&lt;$D$3,"D-"&amp;(NETWORKDAYS(F9,$D$3,공휴일!$A$4:$A$30)-1),IF(F9=$D$3,"D-Day","D+"&amp;(NETWORKDAYS($D$3,F9,공휴일!$A$4:$A$30)-1))))</f>
        <v>D-44</v>
      </c>
      <c r="I9" s="25" t="s">
        <v>31</v>
      </c>
      <c r="J9" s="17"/>
      <c r="K9" s="17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</row>
    <row r="10" customFormat="false" ht="30" hidden="false" customHeight="true" outlineLevel="0" collapsed="false">
      <c r="A10" s="10" t="n">
        <v>5</v>
      </c>
      <c r="B10" s="20" t="s">
        <v>32</v>
      </c>
      <c r="C10" s="21" t="s">
        <v>33</v>
      </c>
      <c r="D10" s="13" t="n">
        <v>45071</v>
      </c>
      <c r="E10" s="14" t="s">
        <v>34</v>
      </c>
      <c r="F10" s="26" t="n">
        <v>46441</v>
      </c>
      <c r="G10" s="10" t="str">
        <f aca="false">IF(F10="","",IF($D$3-F10&gt;0,"D-"&amp;($D$3-F10),IF($D$3=F10,"D-Day","D+"&amp;(F10-$D$3))))</f>
        <v>D-62</v>
      </c>
      <c r="H10" s="10" t="str">
        <f aca="false">IF(F10="","",IF(F10&lt;$D$3,"D-"&amp;(NETWORKDAYS(F10,$D$3,공휴일!$A$4:$A$30)-1),IF(F10=$D$3,"D-Day","D+"&amp;(NETWORKDAYS($D$3,F10,공휴일!$A$4:$A$30)-1))))</f>
        <v>D-43</v>
      </c>
      <c r="I10" s="27" t="s">
        <v>35</v>
      </c>
      <c r="J10" s="24" t="s">
        <v>36</v>
      </c>
      <c r="K10" s="17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customFormat="false" ht="30" hidden="false" customHeight="true" outlineLevel="0" collapsed="false">
      <c r="A11" s="10" t="n">
        <v>6</v>
      </c>
      <c r="B11" s="20" t="s">
        <v>37</v>
      </c>
      <c r="C11" s="21" t="s">
        <v>38</v>
      </c>
      <c r="D11" s="13" t="n">
        <v>45096</v>
      </c>
      <c r="E11" s="14" t="s">
        <v>39</v>
      </c>
      <c r="F11" s="15" t="n">
        <v>46465</v>
      </c>
      <c r="G11" s="10" t="str">
        <f aca="false">IF(F11="","",IF($D$3-F11&gt;0,"D-"&amp;($D$3-F11),IF($D$3=F11,"D-Day","D+"&amp;(F11-$D$3))))</f>
        <v>D-38</v>
      </c>
      <c r="H11" s="10" t="str">
        <f aca="false">IF(F11="","",IF(F11&lt;$D$3,"D-"&amp;(NETWORKDAYS(F11,$D$3,공휴일!$A$4:$A$30)-1),IF(F11=$D$3,"D-Day","D+"&amp;(NETWORKDAYS($D$3,F11,공휴일!$A$4:$A$30)-1))))</f>
        <v>D-26</v>
      </c>
      <c r="I11" s="23"/>
      <c r="J11" s="17"/>
      <c r="K11" s="17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customFormat="false" ht="30" hidden="false" customHeight="true" outlineLevel="0" collapsed="false">
      <c r="A12" s="10" t="n">
        <v>7</v>
      </c>
      <c r="B12" s="20" t="s">
        <v>37</v>
      </c>
      <c r="C12" s="21" t="s">
        <v>40</v>
      </c>
      <c r="D12" s="13" t="n">
        <v>45104</v>
      </c>
      <c r="E12" s="14" t="s">
        <v>41</v>
      </c>
      <c r="F12" s="15" t="n">
        <v>46472</v>
      </c>
      <c r="G12" s="10" t="str">
        <f aca="false">IF(F12="","",IF($D$3-F12&gt;0,"D-"&amp;($D$3-F12),IF($D$3=F12,"D-Day","D+"&amp;(F12-$D$3))))</f>
        <v>D-31</v>
      </c>
      <c r="H12" s="10" t="str">
        <f aca="false">IF(F12="","",IF(F12&lt;$D$3,"D-"&amp;(NETWORKDAYS(F12,$D$3,공휴일!$A$4:$A$30)-1),IF(F12=$D$3,"D-Day","D+"&amp;(NETWORKDAYS($D$3,F12,공휴일!$A$4:$A$30)-1))))</f>
        <v>D-21</v>
      </c>
      <c r="I12" s="25" t="s">
        <v>42</v>
      </c>
      <c r="J12" s="17"/>
      <c r="K12" s="17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customFormat="false" ht="30" hidden="false" customHeight="true" outlineLevel="0" collapsed="false">
      <c r="A13" s="10" t="n">
        <v>8</v>
      </c>
      <c r="B13" s="20" t="s">
        <v>37</v>
      </c>
      <c r="C13" s="21" t="s">
        <v>43</v>
      </c>
      <c r="D13" s="13" t="n">
        <v>45104</v>
      </c>
      <c r="E13" s="14" t="s">
        <v>41</v>
      </c>
      <c r="F13" s="15" t="n">
        <v>46475</v>
      </c>
      <c r="G13" s="10" t="str">
        <f aca="false">IF(F13="","",IF($D$3-F13&gt;0,"D-"&amp;($D$3-F13),IF($D$3=F13,"D-Day","D+"&amp;(F13-$D$3))))</f>
        <v>D-28</v>
      </c>
      <c r="H13" s="10" t="str">
        <f aca="false">IF(F13="","",IF(F13&lt;$D$3,"D-"&amp;(NETWORKDAYS(F13,$D$3,공휴일!$A$4:$A$30)-1),IF(F13=$D$3,"D-Day","D+"&amp;(NETWORKDAYS($D$3,F13,공휴일!$A$4:$A$30)-1))))</f>
        <v>D-20</v>
      </c>
      <c r="I13" s="23"/>
      <c r="J13" s="17"/>
      <c r="K13" s="17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customFormat="false" ht="30" hidden="false" customHeight="true" outlineLevel="0" collapsed="false">
      <c r="A14" s="10" t="n">
        <v>9</v>
      </c>
      <c r="B14" s="20" t="s">
        <v>37</v>
      </c>
      <c r="C14" s="21" t="s">
        <v>44</v>
      </c>
      <c r="D14" s="13" t="n">
        <v>45106</v>
      </c>
      <c r="E14" s="14" t="s">
        <v>45</v>
      </c>
      <c r="F14" s="15" t="n">
        <v>46476</v>
      </c>
      <c r="G14" s="10" t="str">
        <f aca="false">IF(F14="","",IF($D$3-F14&gt;0,"D-"&amp;($D$3-F14),IF($D$3=F14,"D-Day","D+"&amp;(F14-$D$3))))</f>
        <v>D-27</v>
      </c>
      <c r="H14" s="10" t="str">
        <f aca="false">IF(F14="","",IF(F14&lt;$D$3,"D-"&amp;(NETWORKDAYS(F14,$D$3,공휴일!$A$4:$A$30)-1),IF(F14=$D$3,"D-Day","D+"&amp;(NETWORKDAYS($D$3,F14,공휴일!$A$4:$A$30)-1))))</f>
        <v>D-19</v>
      </c>
      <c r="I14" s="23"/>
      <c r="J14" s="17"/>
      <c r="K14" s="17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customFormat="false" ht="30" hidden="false" customHeight="true" outlineLevel="0" collapsed="false">
      <c r="A15" s="10" t="n">
        <v>10</v>
      </c>
      <c r="B15" s="20" t="s">
        <v>46</v>
      </c>
      <c r="C15" s="21" t="s">
        <v>47</v>
      </c>
      <c r="D15" s="13" t="n">
        <v>45107</v>
      </c>
      <c r="E15" s="14" t="s">
        <v>48</v>
      </c>
      <c r="F15" s="26" t="n">
        <v>46477</v>
      </c>
      <c r="G15" s="10" t="str">
        <f aca="false">IF(F15="","",IF($D$3-F15&gt;0,"D-"&amp;($D$3-F15),IF($D$3=F15,"D-Day","D+"&amp;(F15-$D$3))))</f>
        <v>D-26</v>
      </c>
      <c r="H15" s="10" t="str">
        <f aca="false">IF(F15="","",IF(F15&lt;$D$3,"D-"&amp;(NETWORKDAYS(F15,$D$3,공휴일!$A$4:$A$30)-1),IF(F15=$D$3,"D-Day","D+"&amp;(NETWORKDAYS($D$3,F15,공휴일!$A$4:$A$30)-1))))</f>
        <v>D-18</v>
      </c>
      <c r="I15" s="27" t="s">
        <v>47</v>
      </c>
      <c r="J15" s="24" t="s">
        <v>36</v>
      </c>
      <c r="K15" s="17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customFormat="false" ht="30" hidden="false" customHeight="true" outlineLevel="0" collapsed="false">
      <c r="A16" s="10" t="n">
        <v>11</v>
      </c>
      <c r="B16" s="20" t="s">
        <v>49</v>
      </c>
      <c r="C16" s="21" t="s">
        <v>50</v>
      </c>
      <c r="D16" s="13" t="n">
        <v>45110</v>
      </c>
      <c r="E16" s="14" t="s">
        <v>51</v>
      </c>
      <c r="F16" s="15" t="n">
        <v>46478</v>
      </c>
      <c r="G16" s="10" t="str">
        <f aca="false">IF(F16="","",IF($D$3-F16&gt;0,"D-"&amp;($D$3-F16),IF($D$3=F16,"D-Day","D+"&amp;(F16-$D$3))))</f>
        <v>D-25</v>
      </c>
      <c r="H16" s="10" t="str">
        <f aca="false">IF(F16="","",IF(F16&lt;$D$3,"D-"&amp;(NETWORKDAYS(F16,$D$3,공휴일!$A$4:$A$30)-1),IF(F16=$D$3,"D-Day","D+"&amp;(NETWORKDAYS($D$3,F16,공휴일!$A$4:$A$30)-1))))</f>
        <v>D-17</v>
      </c>
      <c r="I16" s="25" t="s">
        <v>50</v>
      </c>
      <c r="J16" s="17"/>
      <c r="K16" s="17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customFormat="false" ht="30" hidden="false" customHeight="true" outlineLevel="0" collapsed="false">
      <c r="A17" s="10" t="n">
        <v>12</v>
      </c>
      <c r="B17" s="11" t="s">
        <v>16</v>
      </c>
      <c r="C17" s="12" t="s">
        <v>52</v>
      </c>
      <c r="D17" s="13" t="n">
        <v>45110</v>
      </c>
      <c r="E17" s="14" t="s">
        <v>51</v>
      </c>
      <c r="F17" s="15" t="n">
        <v>46478</v>
      </c>
      <c r="G17" s="10" t="str">
        <f aca="false">IF(F17="","",IF($D$3-F17&gt;0,"D-"&amp;($D$3-F17),IF($D$3=F17,"D-Day","D+"&amp;(F17-$D$3))))</f>
        <v>D-25</v>
      </c>
      <c r="H17" s="10" t="str">
        <f aca="false">IF(F17="","",IF(F17&lt;$D$3,"D-"&amp;(NETWORKDAYS(F17,$D$3,공휴일!$A$4:$A$30)-1),IF(F17=$D$3,"D-Day","D+"&amp;(NETWORKDAYS($D$3,F17,공휴일!$A$4:$A$30)-1))))</f>
        <v>D-17</v>
      </c>
      <c r="I17" s="19" t="s">
        <v>53</v>
      </c>
      <c r="J17" s="17"/>
      <c r="K17" s="17" t="s">
        <v>54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customFormat="false" ht="30" hidden="false" customHeight="true" outlineLevel="0" collapsed="false">
      <c r="A18" s="10" t="n">
        <v>13</v>
      </c>
      <c r="B18" s="20" t="s">
        <v>37</v>
      </c>
      <c r="C18" s="21" t="s">
        <v>55</v>
      </c>
      <c r="D18" s="13" t="n">
        <v>45111</v>
      </c>
      <c r="E18" s="14" t="s">
        <v>56</v>
      </c>
      <c r="F18" s="15" t="n">
        <v>46479</v>
      </c>
      <c r="G18" s="10" t="str">
        <f aca="false">IF(F18="","",IF($D$3-F18&gt;0,"D-"&amp;($D$3-F18),IF($D$3=F18,"D-Day","D+"&amp;(F18-$D$3))))</f>
        <v>D-24</v>
      </c>
      <c r="H18" s="10" t="str">
        <f aca="false">IF(F18="","",IF(F18&lt;$D$3,"D-"&amp;(NETWORKDAYS(F18,$D$3,공휴일!$A$4:$A$30)-1),IF(F18=$D$3,"D-Day","D+"&amp;(NETWORKDAYS($D$3,F18,공휴일!$A$4:$A$30)-1))))</f>
        <v>D-16</v>
      </c>
      <c r="I18" s="25" t="s">
        <v>57</v>
      </c>
      <c r="J18" s="17"/>
      <c r="K18" s="17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customFormat="false" ht="30" hidden="false" customHeight="true" outlineLevel="0" collapsed="false">
      <c r="A19" s="10" t="n">
        <v>14</v>
      </c>
      <c r="B19" s="20" t="s">
        <v>46</v>
      </c>
      <c r="C19" s="21" t="s">
        <v>58</v>
      </c>
      <c r="D19" s="13" t="n">
        <v>45117</v>
      </c>
      <c r="E19" s="14" t="s">
        <v>59</v>
      </c>
      <c r="F19" s="15" t="n">
        <v>46486</v>
      </c>
      <c r="G19" s="10" t="str">
        <f aca="false">IF(F19="","",IF($D$3-F19&gt;0,"D-"&amp;($D$3-F19),IF($D$3=F19,"D-Day","D+"&amp;(F19-$D$3))))</f>
        <v>D-17</v>
      </c>
      <c r="H19" s="10" t="str">
        <f aca="false">IF(F19="","",IF(F19&lt;$D$3,"D-"&amp;(NETWORKDAYS(F19,$D$3,공휴일!$A$4:$A$30)-1),IF(F19=$D$3,"D-Day","D+"&amp;(NETWORKDAYS($D$3,F19,공휴일!$A$4:$A$30)-1))))</f>
        <v>D-11</v>
      </c>
      <c r="I19" s="25" t="s">
        <v>58</v>
      </c>
      <c r="J19" s="24" t="s">
        <v>36</v>
      </c>
      <c r="K19" s="24" t="s">
        <v>60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customFormat="false" ht="30" hidden="false" customHeight="true" outlineLevel="0" collapsed="false">
      <c r="A20" s="10" t="n">
        <v>15</v>
      </c>
      <c r="B20" s="20" t="s">
        <v>37</v>
      </c>
      <c r="C20" s="21" t="s">
        <v>61</v>
      </c>
      <c r="D20" s="13" t="n">
        <v>45120</v>
      </c>
      <c r="E20" s="14" t="s">
        <v>62</v>
      </c>
      <c r="F20" s="15" t="n">
        <v>46490</v>
      </c>
      <c r="G20" s="10" t="str">
        <f aca="false">IF(F20="","",IF($D$3-F20&gt;0,"D-"&amp;($D$3-F20),IF($D$3=F20,"D-Day","D+"&amp;(F20-$D$3))))</f>
        <v>D-13</v>
      </c>
      <c r="H20" s="10" t="str">
        <f aca="false">IF(F20="","",IF(F20&lt;$D$3,"D-"&amp;(NETWORKDAYS(F20,$D$3,공휴일!$A$4:$A$30)-1),IF(F20=$D$3,"D-Day","D+"&amp;(NETWORKDAYS($D$3,F20,공휴일!$A$4:$A$30)-1))))</f>
        <v>D-9</v>
      </c>
      <c r="I20" s="23"/>
      <c r="J20" s="17"/>
      <c r="K20" s="17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customFormat="false" ht="30" hidden="false" customHeight="true" outlineLevel="0" collapsed="false">
      <c r="A21" s="10" t="n">
        <v>16</v>
      </c>
      <c r="B21" s="20" t="s">
        <v>63</v>
      </c>
      <c r="C21" s="28" t="s">
        <v>64</v>
      </c>
      <c r="D21" s="13" t="n">
        <v>45126</v>
      </c>
      <c r="E21" s="14" t="s">
        <v>65</v>
      </c>
      <c r="F21" s="15" t="n">
        <v>46496</v>
      </c>
      <c r="G21" s="10" t="str">
        <f aca="false">IF(F21="","",IF($D$3-F21&gt;0,"D-"&amp;($D$3-F21),IF($D$3=F21,"D-Day","D+"&amp;(F21-$D$3))))</f>
        <v>D-7</v>
      </c>
      <c r="H21" s="10" t="str">
        <f aca="false">IF(F21="","",IF(F21&lt;$D$3,"D-"&amp;(NETWORKDAYS(F21,$D$3,공휴일!$A$4:$A$30)-1),IF(F21=$D$3,"D-Day","D+"&amp;(NETWORKDAYS($D$3,F21,공휴일!$A$4:$A$30)-1))))</f>
        <v>D-5</v>
      </c>
      <c r="I21" s="23" t="s">
        <v>66</v>
      </c>
      <c r="J21" s="17" t="s">
        <v>67</v>
      </c>
      <c r="K21" s="17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customFormat="false" ht="30" hidden="false" customHeight="true" outlineLevel="0" collapsed="false">
      <c r="A22" s="10" t="n">
        <v>17</v>
      </c>
      <c r="B22" s="29" t="s">
        <v>68</v>
      </c>
      <c r="C22" s="30" t="s">
        <v>69</v>
      </c>
      <c r="D22" s="13" t="n">
        <v>45133</v>
      </c>
      <c r="E22" s="14" t="s">
        <v>70</v>
      </c>
      <c r="F22" s="26" t="n">
        <v>46503</v>
      </c>
      <c r="G22" s="10" t="str">
        <f aca="false">IF(F22="","",IF($D$3-F22&gt;0,"D-"&amp;($D$3-F22),IF($D$3=F22,"D-Day","D+"&amp;(F22-$D$3))))</f>
        <v>D-Day</v>
      </c>
      <c r="H22" s="10" t="str">
        <f aca="false">IF(F22="","",IF(F22&lt;$D$3,"D-"&amp;(NETWORKDAYS(F22,$D$3,공휴일!$A$4:$A$30)-1),IF(F22=$D$3,"D-Day","D+"&amp;(NETWORKDAYS($D$3,F22,공휴일!$A$4:$A$30)-1))))</f>
        <v>D-Day</v>
      </c>
      <c r="I22" s="31" t="s">
        <v>71</v>
      </c>
      <c r="J22" s="17"/>
      <c r="K22" s="17" t="s">
        <v>70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customFormat="false" ht="30" hidden="false" customHeight="true" outlineLevel="0" collapsed="false">
      <c r="A23" s="10" t="n">
        <v>18</v>
      </c>
      <c r="B23" s="11" t="s">
        <v>16</v>
      </c>
      <c r="C23" s="32" t="s">
        <v>72</v>
      </c>
      <c r="D23" s="13" t="n">
        <v>45169</v>
      </c>
      <c r="E23" s="14" t="s">
        <v>73</v>
      </c>
      <c r="F23" s="15" t="n">
        <v>46539</v>
      </c>
      <c r="G23" s="10" t="str">
        <f aca="false">IF(F23="","",IF($D$3-F23&gt;0,"D-"&amp;($D$3-F23),IF($D$3=F23,"D-Day","D+"&amp;(F23-$D$3))))</f>
        <v>D+36</v>
      </c>
      <c r="H23" s="10" t="str">
        <f aca="false">IF(F23="","",IF(F23&lt;$D$3,"D-"&amp;(NETWORKDAYS(F23,$D$3,공휴일!$A$4:$A$30)-1),IF(F23=$D$3,"D-Day","D+"&amp;(NETWORKDAYS($D$3,F23,공휴일!$A$4:$A$30)-1))))</f>
        <v>D+24</v>
      </c>
      <c r="I23" s="16"/>
      <c r="J23" s="17"/>
      <c r="K23" s="17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customFormat="false" ht="30" hidden="false" customHeight="true" outlineLevel="0" collapsed="false">
      <c r="A24" s="10" t="n">
        <v>19</v>
      </c>
      <c r="B24" s="29" t="s">
        <v>68</v>
      </c>
      <c r="C24" s="30" t="s">
        <v>74</v>
      </c>
      <c r="D24" s="13" t="n">
        <v>45196</v>
      </c>
      <c r="E24" s="14" t="s">
        <v>75</v>
      </c>
      <c r="F24" s="26" t="n">
        <v>46568</v>
      </c>
      <c r="G24" s="10" t="str">
        <f aca="false">IF(F24="","",IF($D$3-F24&gt;0,"D-"&amp;($D$3-F24),IF($D$3=F24,"D-Day","D+"&amp;(F24-$D$3))))</f>
        <v>D+65</v>
      </c>
      <c r="H24" s="10" t="str">
        <f aca="false">IF(F24="","",IF(F24&lt;$D$3,"D-"&amp;(NETWORKDAYS(F24,$D$3,공휴일!$A$4:$A$30)-1),IF(F24=$D$3,"D-Day","D+"&amp;(NETWORKDAYS($D$3,F24,공휴일!$A$4:$A$30)-1))))</f>
        <v>D+45</v>
      </c>
      <c r="I24" s="31" t="s">
        <v>76</v>
      </c>
      <c r="J24" s="17"/>
      <c r="K24" s="17" t="s">
        <v>77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customFormat="false" ht="30" hidden="false" customHeight="true" outlineLevel="0" collapsed="false">
      <c r="A25" s="10" t="n">
        <v>20</v>
      </c>
      <c r="B25" s="11" t="s">
        <v>16</v>
      </c>
      <c r="C25" s="32" t="s">
        <v>78</v>
      </c>
      <c r="D25" s="13" t="n">
        <v>45203</v>
      </c>
      <c r="E25" s="14" t="s">
        <v>79</v>
      </c>
      <c r="F25" s="15" t="n">
        <v>46573</v>
      </c>
      <c r="G25" s="10" t="str">
        <f aca="false">IF(F25="","",IF($D$3-F25&gt;0,"D-"&amp;($D$3-F25),IF($D$3=F25,"D-Day","D+"&amp;(F25-$D$3))))</f>
        <v>D+70</v>
      </c>
      <c r="H25" s="10" t="str">
        <f aca="false">IF(F25="","",IF(F25&lt;$D$3,"D-"&amp;(NETWORKDAYS(F25,$D$3,공휴일!$A$4:$A$30)-1),IF(F25=$D$3,"D-Day","D+"&amp;(NETWORKDAYS($D$3,F25,공휴일!$A$4:$A$30)-1))))</f>
        <v>D+48</v>
      </c>
      <c r="I25" s="19" t="s">
        <v>80</v>
      </c>
      <c r="J25" s="17"/>
      <c r="K25" s="17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7" customFormat="false" ht="15" hidden="false" customHeight="false" outlineLevel="0" collapsed="false">
      <c r="A27" s="33" t="s">
        <v>81</v>
      </c>
    </row>
    <row r="28" customFormat="false" ht="15" hidden="false" customHeight="false" outlineLevel="0" collapsed="false">
      <c r="A28" s="34" t="s">
        <v>82</v>
      </c>
      <c r="F28" s="3" t="n">
        <f aca="false">NETWORKDAYS(F22,F24,공휴일!$A$4:$A$30)</f>
        <v>46</v>
      </c>
      <c r="I28" s="35" t="str">
        <f aca="false">IF(F28=45,"45영업일 일치","45영업일과 "&amp;(F28-45)&amp;"일 차이 → 마감일 확인 필요")</f>
        <v>45영업일과 1일 차이 → 마감일 확인 필요</v>
      </c>
    </row>
    <row r="29" customFormat="false" ht="15" hidden="false" customHeight="false" outlineLevel="0" collapsed="false">
      <c r="A29" s="34" t="s">
        <v>83</v>
      </c>
      <c r="F29" s="36" t="n">
        <f aca="false">WORKDAY(F22,44,공휴일!$A$4:$A$30)</f>
        <v>46567</v>
      </c>
      <c r="I29" s="35"/>
    </row>
    <row r="30" customFormat="false" ht="15" hidden="false" customHeight="false" outlineLevel="0" collapsed="false">
      <c r="A30" s="34" t="s">
        <v>84</v>
      </c>
      <c r="F30" s="3" t="n">
        <f aca="false">NETWORKDAYS(D22,D24,공휴일!$C$4:$C$10)</f>
        <v>45</v>
      </c>
      <c r="I30" s="35" t="s">
        <v>85</v>
      </c>
    </row>
    <row r="32" customFormat="false" ht="15" hidden="false" customHeight="false" outlineLevel="0" collapsed="false">
      <c r="A32" s="33" t="s">
        <v>86</v>
      </c>
    </row>
    <row r="33" customFormat="false" ht="15" hidden="false" customHeight="false" outlineLevel="0" collapsed="false">
      <c r="A33" s="34" t="s">
        <v>87</v>
      </c>
    </row>
    <row r="34" customFormat="false" ht="15" hidden="false" customHeight="false" outlineLevel="0" collapsed="false">
      <c r="A34" s="34" t="s">
        <v>88</v>
      </c>
    </row>
    <row r="35" customFormat="false" ht="15" hidden="false" customHeight="false" outlineLevel="0" collapsed="false">
      <c r="A35" s="5" t="s">
        <v>89</v>
      </c>
    </row>
  </sheetData>
  <conditionalFormatting sqref="L6:AM25">
    <cfRule type="expression" priority="2" aboveAverage="0" equalAverage="0" bottom="0" percent="0" rank="0" text="" dxfId="0">
      <formula>AND($F6&lt;&gt;"",$B6="시행",$F6&gt;=L$5,$F6&lt;=L$5+6)</formula>
    </cfRule>
    <cfRule type="expression" priority="3" aboveAverage="0" equalAverage="0" bottom="0" percent="0" rank="0" text="" dxfId="1">
      <formula>AND($F6&lt;&gt;"",$F6&gt;=L$5,$F6&lt;=L$5+6)</formula>
    </cfRule>
    <cfRule type="expression" priority="4" aboveAverage="0" equalAverage="0" bottom="0" percent="0" rank="0" text="" dxfId="2">
      <formula>AND(L$5+6&gt;=$D$3,L$5&lt;=INDEX($F:$F,MATCH("OTP 교체 마감",$C:$C,0)))</formula>
    </cfRule>
  </conditionalFormatting>
  <conditionalFormatting sqref="G6:G25">
    <cfRule type="expression" priority="5" aboveAverage="0" equalAverage="0" bottom="0" percent="0" rank="0" text="" dxfId="3">
      <formula>$G6="D-Day"</formula>
    </cfRule>
  </conditionalFormatting>
  <conditionalFormatting sqref="H6:H25">
    <cfRule type="expression" priority="6" aboveAverage="0" equalAverage="0" bottom="0" percent="0" rank="0" text="" dxfId="3">
      <formula>$H6="D-Day"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3" t="s">
        <v>90</v>
      </c>
    </row>
    <row r="3" customFormat="false" ht="15" hidden="false" customHeight="false" outlineLevel="0" collapsed="false">
      <c r="A3" s="37" t="s">
        <v>91</v>
      </c>
      <c r="B3" s="38" t="s">
        <v>92</v>
      </c>
      <c r="C3" s="37" t="s">
        <v>93</v>
      </c>
      <c r="D3" s="38" t="s">
        <v>92</v>
      </c>
    </row>
    <row r="4" customFormat="false" ht="15" hidden="false" customHeight="false" outlineLevel="0" collapsed="false">
      <c r="A4" s="39" t="n">
        <v>46388</v>
      </c>
      <c r="B4" s="40" t="s">
        <v>94</v>
      </c>
      <c r="C4" s="41" t="n">
        <v>45153</v>
      </c>
      <c r="D4" s="42" t="s">
        <v>95</v>
      </c>
    </row>
    <row r="5" customFormat="false" ht="15" hidden="false" customHeight="false" outlineLevel="0" collapsed="false">
      <c r="A5" s="39" t="n">
        <v>46426</v>
      </c>
      <c r="B5" s="40" t="s">
        <v>96</v>
      </c>
      <c r="C5" s="41" t="n">
        <v>45197</v>
      </c>
      <c r="D5" s="42" t="s">
        <v>97</v>
      </c>
    </row>
    <row r="6" customFormat="false" ht="15" hidden="false" customHeight="false" outlineLevel="0" collapsed="false">
      <c r="A6" s="39" t="n">
        <v>46427</v>
      </c>
      <c r="B6" s="40" t="s">
        <v>98</v>
      </c>
      <c r="C6" s="41" t="n">
        <v>45198</v>
      </c>
      <c r="D6" s="42" t="s">
        <v>99</v>
      </c>
    </row>
    <row r="7" customFormat="false" ht="15" hidden="false" customHeight="false" outlineLevel="0" collapsed="false">
      <c r="A7" s="39" t="n">
        <v>46447</v>
      </c>
      <c r="B7" s="40" t="s">
        <v>100</v>
      </c>
    </row>
    <row r="8" customFormat="false" ht="15" hidden="false" customHeight="false" outlineLevel="0" collapsed="false">
      <c r="A8" s="39" t="n">
        <v>46508</v>
      </c>
      <c r="B8" s="40" t="s">
        <v>101</v>
      </c>
    </row>
    <row r="9" customFormat="false" ht="15" hidden="false" customHeight="false" outlineLevel="0" collapsed="false">
      <c r="A9" s="39" t="n">
        <v>46512</v>
      </c>
      <c r="B9" s="40" t="s">
        <v>102</v>
      </c>
    </row>
    <row r="10" customFormat="false" ht="15" hidden="false" customHeight="false" outlineLevel="0" collapsed="false">
      <c r="A10" s="39" t="n">
        <v>46520</v>
      </c>
      <c r="B10" s="40" t="s">
        <v>103</v>
      </c>
    </row>
    <row r="11" customFormat="false" ht="15" hidden="false" customHeight="false" outlineLevel="0" collapsed="false">
      <c r="A11" s="39" t="n">
        <v>46615</v>
      </c>
      <c r="B11" s="40" t="s">
        <v>104</v>
      </c>
    </row>
    <row r="12" customFormat="false" ht="15" hidden="false" customHeight="false" outlineLevel="0" collapsed="false">
      <c r="A12" s="39" t="n">
        <v>46644</v>
      </c>
      <c r="B12" s="40" t="s">
        <v>97</v>
      </c>
    </row>
    <row r="13" customFormat="false" ht="15" hidden="false" customHeight="false" outlineLevel="0" collapsed="false">
      <c r="A13" s="39" t="n">
        <v>46645</v>
      </c>
      <c r="B13" s="40" t="s">
        <v>99</v>
      </c>
    </row>
    <row r="14" customFormat="false" ht="15" hidden="false" customHeight="false" outlineLevel="0" collapsed="false">
      <c r="A14" s="39" t="n">
        <v>46646</v>
      </c>
      <c r="B14" s="40" t="s">
        <v>97</v>
      </c>
    </row>
    <row r="15" customFormat="false" ht="15" hidden="false" customHeight="false" outlineLevel="0" collapsed="false">
      <c r="A15" s="39" t="n">
        <v>46664</v>
      </c>
      <c r="B15" s="40" t="s">
        <v>105</v>
      </c>
    </row>
    <row r="16" customFormat="false" ht="15" hidden="false" customHeight="false" outlineLevel="0" collapsed="false">
      <c r="A16" s="39" t="n">
        <v>46671</v>
      </c>
      <c r="B16" s="40" t="s">
        <v>106</v>
      </c>
    </row>
    <row r="17" customFormat="false" ht="15" hidden="false" customHeight="false" outlineLevel="0" collapsed="false">
      <c r="A17" s="39" t="n">
        <v>46748</v>
      </c>
      <c r="B17" s="4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2026-10-21T07:02:02Z</dcterms:created>
  <dc:creator>openpyxl</dc:creator>
  <dc:description/>
  <dc:language>en-US</dc:language>
  <cp:lastModifiedBy/>
  <dcterms:modified xsi:type="dcterms:W3CDTF">2026-10-21T07:02:02Z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